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a586cd8d6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cf81a36b8fb648dc"/>
    <x:sheet xmlns:r="http://schemas.openxmlformats.org/officeDocument/2006/relationships" name="50条用电明细" sheetId="2" r:id="Rc799cc3cbe774b29"/>
    <x:sheet xmlns:r="http://schemas.openxmlformats.org/officeDocument/2006/relationships" name="数据说明" sheetId="3" r:id="R734ab130b715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0ea5c5f844c86" /><Relationship Type="http://schemas.openxmlformats.org/officeDocument/2006/relationships/theme" Target="/xl/theme/theme1.xml" Id="Ra5240e83241d4bd7" /><Relationship Type="http://schemas.openxmlformats.org/officeDocument/2006/relationships/sharedStrings" Target="/xl/sharedStrings.xml" Id="Rf10b26d770694c04" /><Relationship Type="http://schemas.openxmlformats.org/officeDocument/2006/relationships/worksheet" Target="/xl/worksheets/sheet1.xml" Id="Rcf81a36b8fb648dc" /><Relationship Type="http://schemas.openxmlformats.org/officeDocument/2006/relationships/worksheet" Target="/xl/worksheets/sheet2.xml" Id="Rc799cc3cbe774b29" /><Relationship Type="http://schemas.openxmlformats.org/officeDocument/2006/relationships/worksheet" Target="/xl/worksheets/sheet3.xml" Id="R734ab130b7154e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DEMO-PA-2601</x:v>
      </x:c>
      <x:c r="D5" s="18" t="str">
        <x:v>2026-02-01 至 2026-02-28</x:v>
      </x:c>
      <x:c r="E5" s="19" t="n">
        <x:v>790000</x:v>
      </x:c>
      <x:c r="F5" s="20" t="n">
        <x:v>0.701</x:v>
      </x:c>
      <x:c r="G5" s="21" t="n">
        <x:v>553790</x:v>
      </x:c>
      <x:c r="H5" s="21" t="n">
        <x:v>44630000</x:v>
      </x:c>
      <x:c r="I5" s="21" t="n">
        <x:v>45420000</x:v>
      </x:c>
      <x:c r="J5" s="18" t="str">
        <x:v>公辅动力中心（合成）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790000</x:v>
      </x:c>
    </x:row>
    <x:row r="10">
      <x:c r="A10" s="24" t="str">
        <x:v>50条明细合计(kWh)</x:v>
      </x:c>
      <x:c r="B10" s="25" t="n">
        <x:f>SUM('50条用电明细'!I5:I54)</x:f>
        <x:v>790000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公辅动力中心（合成）｜2026-02-01 至 2026-02-28｜50条用电明细</x:v>
      </x:c>
      <x:c r="B1" s="3" t="str">
        <x:v>公辅动力中心（合成）｜2026-02-01 至 2026-02-28｜50条用电明细</x:v>
      </x:c>
      <x:c r="C1" s="3" t="str">
        <x:v>公辅动力中心（合成）｜2026-02-01 至 2026-02-28｜50条用电明细</x:v>
      </x:c>
      <x:c r="D1" s="3" t="str">
        <x:v>公辅动力中心（合成）｜2026-02-01 至 2026-02-28｜50条用电明细</x:v>
      </x:c>
      <x:c r="E1" s="3" t="str">
        <x:v>公辅动力中心（合成）｜2026-02-01 至 2026-02-28｜50条用电明细</x:v>
      </x:c>
      <x:c r="F1" s="3" t="str">
        <x:v>公辅动力中心（合成）｜2026-02-01 至 2026-02-28｜50条用电明细</x:v>
      </x:c>
      <x:c r="G1" s="3" t="str">
        <x:v>公辅动力中心（合成）｜2026-02-01 至 2026-02-28｜50条用电明细</x:v>
      </x:c>
      <x:c r="H1" s="3" t="str">
        <x:v>公辅动力中心（合成）｜2026-02-01 至 2026-02-28｜50条用电明细</x:v>
      </x:c>
      <x:c r="I1" s="3" t="str">
        <x:v>公辅动力中心（合成）｜2026-02-01 至 2026-02-28｜50条用电明细</x:v>
      </x:c>
      <x:c r="J1" s="3" t="str">
        <x:v>公辅动力中心（合成）｜2026-02-01 至 2026-02-28｜50条用电明细</x:v>
      </x:c>
      <x:c r="K1" s="3" t="str">
        <x:v>公辅动力中心（合成）｜2026-02-01 至 2026-02-28｜50条用电明细</x:v>
      </x:c>
      <x:c r="L1" s="3" t="str">
        <x:v>公辅动力中心（合成）｜2026-02-01 至 2026-02-28｜50条用电明细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PA-02-P001</x:v>
      </x:c>
      <x:c r="C5" s="47" t="n">
        <x:v>46062</x:v>
      </x:c>
      <x:c r="D5" s="44" t="str">
        <x:v>白班</x:v>
      </x:c>
      <x:c r="E5" s="41" t="str">
        <x:v>公辅动力中心（合成）</x:v>
      </x:c>
      <x:c r="F5" s="50" t="n">
        <x:v>44630000</x:v>
      </x:c>
      <x:c r="G5" s="50" t="n">
        <x:v>44648911</x:v>
      </x:c>
      <x:c r="H5" s="51" t="n">
        <x:v>1</x:v>
      </x:c>
      <x:c r="I5" s="50" t="n">
        <x:f>(G5-F5)*H5</x:f>
        <x:v>18911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PA-02-P002</x:v>
      </x:c>
      <x:c r="C6" s="48" t="n">
        <x:v>46069</x:v>
      </x:c>
      <x:c r="D6" s="45" t="str">
        <x:v>中班</x:v>
      </x:c>
      <x:c r="E6" s="42" t="str">
        <x:v>公辅动力中心（合成）</x:v>
      </x:c>
      <x:c r="F6" s="52" t="n">
        <x:v>44648911</x:v>
      </x:c>
      <x:c r="G6" s="52" t="n">
        <x:v>44664040</x:v>
      </x:c>
      <x:c r="H6" s="53" t="n">
        <x:v>1</x:v>
      </x:c>
      <x:c r="I6" s="52" t="n">
        <x:f>(G6-F6)*H6</x:f>
        <x:v>15129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PA-02-P003</x:v>
      </x:c>
      <x:c r="C7" s="48" t="n">
        <x:v>46076</x:v>
      </x:c>
      <x:c r="D7" s="45" t="str">
        <x:v>夜班</x:v>
      </x:c>
      <x:c r="E7" s="42" t="str">
        <x:v>公辅动力中心（合成）</x:v>
      </x:c>
      <x:c r="F7" s="52" t="n">
        <x:v>44664040</x:v>
      </x:c>
      <x:c r="G7" s="52" t="n">
        <x:v>44681848</x:v>
      </x:c>
      <x:c r="H7" s="53" t="n">
        <x:v>1</x:v>
      </x:c>
      <x:c r="I7" s="52" t="n">
        <x:f>(G7-F7)*H7</x:f>
        <x:v>17808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PA-02-P004</x:v>
      </x:c>
      <x:c r="C8" s="48" t="n">
        <x:v>46055</x:v>
      </x:c>
      <x:c r="D8" s="45" t="str">
        <x:v>白班</x:v>
      </x:c>
      <x:c r="E8" s="42" t="str">
        <x:v>公辅动力中心（合成）</x:v>
      </x:c>
      <x:c r="F8" s="52" t="n">
        <x:v>44681848</x:v>
      </x:c>
      <x:c r="G8" s="52" t="n">
        <x:v>44695874</x:v>
      </x:c>
      <x:c r="H8" s="53" t="n">
        <x:v>1</x:v>
      </x:c>
      <x:c r="I8" s="52" t="n">
        <x:f>(G8-F8)*H8</x:f>
        <x:v>14026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PA-02-P005</x:v>
      </x:c>
      <x:c r="C9" s="48" t="n">
        <x:v>46062</x:v>
      </x:c>
      <x:c r="D9" s="45" t="str">
        <x:v>中班</x:v>
      </x:c>
      <x:c r="E9" s="42" t="str">
        <x:v>公辅动力中心（合成）</x:v>
      </x:c>
      <x:c r="F9" s="52" t="n">
        <x:v>44695874</x:v>
      </x:c>
      <x:c r="G9" s="52" t="n">
        <x:v>44712579</x:v>
      </x:c>
      <x:c r="H9" s="53" t="n">
        <x:v>1</x:v>
      </x:c>
      <x:c r="I9" s="52" t="n">
        <x:f>(G9-F9)*H9</x:f>
        <x:v>16705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PA-02-P006</x:v>
      </x:c>
      <x:c r="C10" s="48" t="n">
        <x:v>46069</x:v>
      </x:c>
      <x:c r="D10" s="45" t="str">
        <x:v>夜班</x:v>
      </x:c>
      <x:c r="E10" s="42" t="str">
        <x:v>公辅动力中心（合成）</x:v>
      </x:c>
      <x:c r="F10" s="52" t="n">
        <x:v>44712579</x:v>
      </x:c>
      <x:c r="G10" s="52" t="n">
        <x:v>44725502</x:v>
      </x:c>
      <x:c r="H10" s="53" t="n">
        <x:v>1</x:v>
      </x:c>
      <x:c r="I10" s="52" t="n">
        <x:f>(G10-F10)*H10</x:f>
        <x:v>12923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PA-02-P007</x:v>
      </x:c>
      <x:c r="C11" s="48" t="n">
        <x:v>46076</x:v>
      </x:c>
      <x:c r="D11" s="45" t="str">
        <x:v>白班</x:v>
      </x:c>
      <x:c r="E11" s="42" t="str">
        <x:v>公辅动力中心（合成）</x:v>
      </x:c>
      <x:c r="F11" s="52" t="n">
        <x:v>44725502</x:v>
      </x:c>
      <x:c r="G11" s="52" t="n">
        <x:v>44741104</x:v>
      </x:c>
      <x:c r="H11" s="53" t="n">
        <x:v>1</x:v>
      </x:c>
      <x:c r="I11" s="52" t="n">
        <x:f>(G11-F11)*H11</x:f>
        <x:v>15602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PA-02-P008</x:v>
      </x:c>
      <x:c r="C12" s="48" t="n">
        <x:v>46055</x:v>
      </x:c>
      <x:c r="D12" s="45" t="str">
        <x:v>中班</x:v>
      </x:c>
      <x:c r="E12" s="42" t="str">
        <x:v>公辅动力中心（合成）</x:v>
      </x:c>
      <x:c r="F12" s="52" t="n">
        <x:v>44741104</x:v>
      </x:c>
      <x:c r="G12" s="52" t="n">
        <x:v>44759385</x:v>
      </x:c>
      <x:c r="H12" s="53" t="n">
        <x:v>1</x:v>
      </x:c>
      <x:c r="I12" s="52" t="n">
        <x:f>(G12-F12)*H12</x:f>
        <x:v>18281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PA-02-P009</x:v>
      </x:c>
      <x:c r="C13" s="48" t="n">
        <x:v>46062</x:v>
      </x:c>
      <x:c r="D13" s="45" t="str">
        <x:v>夜班</x:v>
      </x:c>
      <x:c r="E13" s="42" t="str">
        <x:v>公辅动力中心（合成）</x:v>
      </x:c>
      <x:c r="F13" s="52" t="n">
        <x:v>44759385</x:v>
      </x:c>
      <x:c r="G13" s="52" t="n">
        <x:v>44773884</x:v>
      </x:c>
      <x:c r="H13" s="53" t="n">
        <x:v>1</x:v>
      </x:c>
      <x:c r="I13" s="52" t="n">
        <x:f>(G13-F13)*H13</x:f>
        <x:v>14499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PA-02-P010</x:v>
      </x:c>
      <x:c r="C14" s="48" t="n">
        <x:v>46069</x:v>
      </x:c>
      <x:c r="D14" s="45" t="str">
        <x:v>白班</x:v>
      </x:c>
      <x:c r="E14" s="42" t="str">
        <x:v>公辅动力中心（合成）</x:v>
      </x:c>
      <x:c r="F14" s="52" t="n">
        <x:v>44773884</x:v>
      </x:c>
      <x:c r="G14" s="52" t="n">
        <x:v>44791062</x:v>
      </x:c>
      <x:c r="H14" s="53" t="n">
        <x:v>1</x:v>
      </x:c>
      <x:c r="I14" s="52" t="n">
        <x:f>(G14-F14)*H14</x:f>
        <x:v>17178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PA-02-P011</x:v>
      </x:c>
      <x:c r="C15" s="48" t="n">
        <x:v>46076</x:v>
      </x:c>
      <x:c r="D15" s="45" t="str">
        <x:v>中班</x:v>
      </x:c>
      <x:c r="E15" s="42" t="str">
        <x:v>公辅动力中心（合成）</x:v>
      </x:c>
      <x:c r="F15" s="52" t="n">
        <x:v>44791062</x:v>
      </x:c>
      <x:c r="G15" s="52" t="n">
        <x:v>44804458</x:v>
      </x:c>
      <x:c r="H15" s="53" t="n">
        <x:v>1</x:v>
      </x:c>
      <x:c r="I15" s="52" t="n">
        <x:f>(G15-F15)*H15</x:f>
        <x:v>13396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PA-02-P012</x:v>
      </x:c>
      <x:c r="C16" s="48" t="n">
        <x:v>46055</x:v>
      </x:c>
      <x:c r="D16" s="45" t="str">
        <x:v>夜班</x:v>
      </x:c>
      <x:c r="E16" s="42" t="str">
        <x:v>公辅动力中心（合成）</x:v>
      </x:c>
      <x:c r="F16" s="52" t="n">
        <x:v>44804458</x:v>
      </x:c>
      <x:c r="G16" s="52" t="n">
        <x:v>44820533</x:v>
      </x:c>
      <x:c r="H16" s="53" t="n">
        <x:v>1</x:v>
      </x:c>
      <x:c r="I16" s="52" t="n">
        <x:f>(G16-F16)*H16</x:f>
        <x:v>16075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PA-02-P013</x:v>
      </x:c>
      <x:c r="C17" s="48" t="n">
        <x:v>46062</x:v>
      </x:c>
      <x:c r="D17" s="45" t="str">
        <x:v>白班</x:v>
      </x:c>
      <x:c r="E17" s="42" t="str">
        <x:v>公辅动力中心（合成）</x:v>
      </x:c>
      <x:c r="F17" s="52" t="n">
        <x:v>44820533</x:v>
      </x:c>
      <x:c r="G17" s="52" t="n">
        <x:v>44839287</x:v>
      </x:c>
      <x:c r="H17" s="53" t="n">
        <x:v>1</x:v>
      </x:c>
      <x:c r="I17" s="52" t="n">
        <x:f>(G17-F17)*H17</x:f>
        <x:v>18754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PA-02-P014</x:v>
      </x:c>
      <x:c r="C18" s="48" t="n">
        <x:v>46069</x:v>
      </x:c>
      <x:c r="D18" s="45" t="str">
        <x:v>中班</x:v>
      </x:c>
      <x:c r="E18" s="42" t="str">
        <x:v>公辅动力中心（合成）</x:v>
      </x:c>
      <x:c r="F18" s="52" t="n">
        <x:v>44839287</x:v>
      </x:c>
      <x:c r="G18" s="52" t="n">
        <x:v>44854259</x:v>
      </x:c>
      <x:c r="H18" s="53" t="n">
        <x:v>1</x:v>
      </x:c>
      <x:c r="I18" s="52" t="n">
        <x:f>(G18-F18)*H18</x:f>
        <x:v>14972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PA-02-P015</x:v>
      </x:c>
      <x:c r="C19" s="48" t="n">
        <x:v>46076</x:v>
      </x:c>
      <x:c r="D19" s="45" t="str">
        <x:v>夜班</x:v>
      </x:c>
      <x:c r="E19" s="42" t="str">
        <x:v>公辅动力中心（合成）</x:v>
      </x:c>
      <x:c r="F19" s="52" t="n">
        <x:v>44854259</x:v>
      </x:c>
      <x:c r="G19" s="52" t="n">
        <x:v>44871910</x:v>
      </x:c>
      <x:c r="H19" s="53" t="n">
        <x:v>1</x:v>
      </x:c>
      <x:c r="I19" s="52" t="n">
        <x:f>(G19-F19)*H19</x:f>
        <x:v>17651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PA-02-P016</x:v>
      </x:c>
      <x:c r="C20" s="48" t="n">
        <x:v>46055</x:v>
      </x:c>
      <x:c r="D20" s="45" t="str">
        <x:v>白班</x:v>
      </x:c>
      <x:c r="E20" s="42" t="str">
        <x:v>公辅动力中心（合成）</x:v>
      </x:c>
      <x:c r="F20" s="52" t="n">
        <x:v>44871910</x:v>
      </x:c>
      <x:c r="G20" s="52" t="n">
        <x:v>44885778</x:v>
      </x:c>
      <x:c r="H20" s="53" t="n">
        <x:v>1</x:v>
      </x:c>
      <x:c r="I20" s="52" t="n">
        <x:f>(G20-F20)*H20</x:f>
        <x:v>13868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PA-02-P017</x:v>
      </x:c>
      <x:c r="C21" s="48" t="n">
        <x:v>46062</x:v>
      </x:c>
      <x:c r="D21" s="45" t="str">
        <x:v>中班</x:v>
      </x:c>
      <x:c r="E21" s="42" t="str">
        <x:v>公辅动力中心（合成）</x:v>
      </x:c>
      <x:c r="F21" s="52" t="n">
        <x:v>44885778</x:v>
      </x:c>
      <x:c r="G21" s="52" t="n">
        <x:v>44902325</x:v>
      </x:c>
      <x:c r="H21" s="53" t="n">
        <x:v>1</x:v>
      </x:c>
      <x:c r="I21" s="52" t="n">
        <x:f>(G21-F21)*H21</x:f>
        <x:v>16547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PA-02-P018</x:v>
      </x:c>
      <x:c r="C22" s="48" t="n">
        <x:v>46069</x:v>
      </x:c>
      <x:c r="D22" s="45" t="str">
        <x:v>夜班</x:v>
      </x:c>
      <x:c r="E22" s="42" t="str">
        <x:v>公辅动力中心（合成）</x:v>
      </x:c>
      <x:c r="F22" s="52" t="n">
        <x:v>44902325</x:v>
      </x:c>
      <x:c r="G22" s="52" t="n">
        <x:v>44915090</x:v>
      </x:c>
      <x:c r="H22" s="53" t="n">
        <x:v>1</x:v>
      </x:c>
      <x:c r="I22" s="52" t="n">
        <x:f>(G22-F22)*H22</x:f>
        <x:v>12765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PA-02-P019</x:v>
      </x:c>
      <x:c r="C23" s="48" t="n">
        <x:v>46076</x:v>
      </x:c>
      <x:c r="D23" s="45" t="str">
        <x:v>白班</x:v>
      </x:c>
      <x:c r="E23" s="42" t="str">
        <x:v>公辅动力中心（合成）</x:v>
      </x:c>
      <x:c r="F23" s="52" t="n">
        <x:v>44915090</x:v>
      </x:c>
      <x:c r="G23" s="52" t="n">
        <x:v>44930534</x:v>
      </x:c>
      <x:c r="H23" s="53" t="n">
        <x:v>1</x:v>
      </x:c>
      <x:c r="I23" s="52" t="n">
        <x:f>(G23-F23)*H23</x:f>
        <x:v>15444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PA-02-P020</x:v>
      </x:c>
      <x:c r="C24" s="48" t="n">
        <x:v>46055</x:v>
      </x:c>
      <x:c r="D24" s="45" t="str">
        <x:v>中班</x:v>
      </x:c>
      <x:c r="E24" s="42" t="str">
        <x:v>公辅动力中心（合成）</x:v>
      </x:c>
      <x:c r="F24" s="52" t="n">
        <x:v>44930534</x:v>
      </x:c>
      <x:c r="G24" s="52" t="n">
        <x:v>44948657</x:v>
      </x:c>
      <x:c r="H24" s="53" t="n">
        <x:v>1</x:v>
      </x:c>
      <x:c r="I24" s="52" t="n">
        <x:f>(G24-F24)*H24</x:f>
        <x:v>18123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PA-02-P021</x:v>
      </x:c>
      <x:c r="C25" s="48" t="n">
        <x:v>46062</x:v>
      </x:c>
      <x:c r="D25" s="45" t="str">
        <x:v>夜班</x:v>
      </x:c>
      <x:c r="E25" s="42" t="str">
        <x:v>公辅动力中心（合成）</x:v>
      </x:c>
      <x:c r="F25" s="52" t="n">
        <x:v>44948657</x:v>
      </x:c>
      <x:c r="G25" s="52" t="n">
        <x:v>44962998</x:v>
      </x:c>
      <x:c r="H25" s="53" t="n">
        <x:v>1</x:v>
      </x:c>
      <x:c r="I25" s="52" t="n">
        <x:f>(G25-F25)*H25</x:f>
        <x:v>14341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PA-02-P022</x:v>
      </x:c>
      <x:c r="C26" s="48" t="n">
        <x:v>46069</x:v>
      </x:c>
      <x:c r="D26" s="45" t="str">
        <x:v>白班</x:v>
      </x:c>
      <x:c r="E26" s="42" t="str">
        <x:v>公辅动力中心（合成）</x:v>
      </x:c>
      <x:c r="F26" s="52" t="n">
        <x:v>44962998</x:v>
      </x:c>
      <x:c r="G26" s="52" t="n">
        <x:v>44980018</x:v>
      </x:c>
      <x:c r="H26" s="53" t="n">
        <x:v>1</x:v>
      </x:c>
      <x:c r="I26" s="52" t="n">
        <x:f>(G26-F26)*H26</x:f>
        <x:v>17020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PA-02-P023</x:v>
      </x:c>
      <x:c r="C27" s="48" t="n">
        <x:v>46076</x:v>
      </x:c>
      <x:c r="D27" s="45" t="str">
        <x:v>中班</x:v>
      </x:c>
      <x:c r="E27" s="42" t="str">
        <x:v>公辅动力中心（合成）</x:v>
      </x:c>
      <x:c r="F27" s="52" t="n">
        <x:v>44980018</x:v>
      </x:c>
      <x:c r="G27" s="52" t="n">
        <x:v>44993256</x:v>
      </x:c>
      <x:c r="H27" s="53" t="n">
        <x:v>1</x:v>
      </x:c>
      <x:c r="I27" s="52" t="n">
        <x:f>(G27-F27)*H27</x:f>
        <x:v>13238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PA-02-P024</x:v>
      </x:c>
      <x:c r="C28" s="48" t="n">
        <x:v>46055</x:v>
      </x:c>
      <x:c r="D28" s="45" t="str">
        <x:v>夜班</x:v>
      </x:c>
      <x:c r="E28" s="42" t="str">
        <x:v>公辅动力中心（合成）</x:v>
      </x:c>
      <x:c r="F28" s="52" t="n">
        <x:v>44993256</x:v>
      </x:c>
      <x:c r="G28" s="52" t="n">
        <x:v>45009173</x:v>
      </x:c>
      <x:c r="H28" s="53" t="n">
        <x:v>1</x:v>
      </x:c>
      <x:c r="I28" s="52" t="n">
        <x:f>(G28-F28)*H28</x:f>
        <x:v>15917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PA-02-P025</x:v>
      </x:c>
      <x:c r="C29" s="48" t="n">
        <x:v>46062</x:v>
      </x:c>
      <x:c r="D29" s="45" t="str">
        <x:v>白班</x:v>
      </x:c>
      <x:c r="E29" s="42" t="str">
        <x:v>公辅动力中心（合成）</x:v>
      </x:c>
      <x:c r="F29" s="52" t="n">
        <x:v>45009173</x:v>
      </x:c>
      <x:c r="G29" s="52" t="n">
        <x:v>45027769</x:v>
      </x:c>
      <x:c r="H29" s="53" t="n">
        <x:v>1</x:v>
      </x:c>
      <x:c r="I29" s="52" t="n">
        <x:f>(G29-F29)*H29</x:f>
        <x:v>18596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PA-02-P026</x:v>
      </x:c>
      <x:c r="C30" s="48" t="n">
        <x:v>46069</x:v>
      </x:c>
      <x:c r="D30" s="45" t="str">
        <x:v>中班</x:v>
      </x:c>
      <x:c r="E30" s="42" t="str">
        <x:v>公辅动力中心（合成）</x:v>
      </x:c>
      <x:c r="F30" s="52" t="n">
        <x:v>45027769</x:v>
      </x:c>
      <x:c r="G30" s="52" t="n">
        <x:v>45042583</x:v>
      </x:c>
      <x:c r="H30" s="53" t="n">
        <x:v>1</x:v>
      </x:c>
      <x:c r="I30" s="52" t="n">
        <x:f>(G30-F30)*H30</x:f>
        <x:v>14814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PA-02-P027</x:v>
      </x:c>
      <x:c r="C31" s="48" t="n">
        <x:v>46076</x:v>
      </x:c>
      <x:c r="D31" s="45" t="str">
        <x:v>夜班</x:v>
      </x:c>
      <x:c r="E31" s="42" t="str">
        <x:v>公辅动力中心（合成）</x:v>
      </x:c>
      <x:c r="F31" s="52" t="n">
        <x:v>45042583</x:v>
      </x:c>
      <x:c r="G31" s="52" t="n">
        <x:v>45060075</x:v>
      </x:c>
      <x:c r="H31" s="53" t="n">
        <x:v>1</x:v>
      </x:c>
      <x:c r="I31" s="52" t="n">
        <x:f>(G31-F31)*H31</x:f>
        <x:v>17492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PA-02-P028</x:v>
      </x:c>
      <x:c r="C32" s="48" t="n">
        <x:v>46055</x:v>
      </x:c>
      <x:c r="D32" s="45" t="str">
        <x:v>白班</x:v>
      </x:c>
      <x:c r="E32" s="42" t="str">
        <x:v>公辅动力中心（合成）</x:v>
      </x:c>
      <x:c r="F32" s="52" t="n">
        <x:v>45060075</x:v>
      </x:c>
      <x:c r="G32" s="52" t="n">
        <x:v>45073785</x:v>
      </x:c>
      <x:c r="H32" s="53" t="n">
        <x:v>1</x:v>
      </x:c>
      <x:c r="I32" s="52" t="n">
        <x:f>(G32-F32)*H32</x:f>
        <x:v>13710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PA-02-P029</x:v>
      </x:c>
      <x:c r="C33" s="48" t="n">
        <x:v>46062</x:v>
      </x:c>
      <x:c r="D33" s="45" t="str">
        <x:v>中班</x:v>
      </x:c>
      <x:c r="E33" s="42" t="str">
        <x:v>公辅动力中心（合成）</x:v>
      </x:c>
      <x:c r="F33" s="52" t="n">
        <x:v>45073785</x:v>
      </x:c>
      <x:c r="G33" s="52" t="n">
        <x:v>45090174</x:v>
      </x:c>
      <x:c r="H33" s="53" t="n">
        <x:v>1</x:v>
      </x:c>
      <x:c r="I33" s="52" t="n">
        <x:f>(G33-F33)*H33</x:f>
        <x:v>16389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PA-02-P030</x:v>
      </x:c>
      <x:c r="C34" s="48" t="n">
        <x:v>46069</x:v>
      </x:c>
      <x:c r="D34" s="45" t="str">
        <x:v>夜班</x:v>
      </x:c>
      <x:c r="E34" s="42" t="str">
        <x:v>公辅动力中心（合成）</x:v>
      </x:c>
      <x:c r="F34" s="52" t="n">
        <x:v>45090174</x:v>
      </x:c>
      <x:c r="G34" s="52" t="n">
        <x:v>45102781</x:v>
      </x:c>
      <x:c r="H34" s="53" t="n">
        <x:v>1</x:v>
      </x:c>
      <x:c r="I34" s="52" t="n">
        <x:f>(G34-F34)*H34</x:f>
        <x:v>12607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PA-02-P031</x:v>
      </x:c>
      <x:c r="C35" s="48" t="n">
        <x:v>46076</x:v>
      </x:c>
      <x:c r="D35" s="45" t="str">
        <x:v>白班</x:v>
      </x:c>
      <x:c r="E35" s="42" t="str">
        <x:v>公辅动力中心（合成）</x:v>
      </x:c>
      <x:c r="F35" s="52" t="n">
        <x:v>45102781</x:v>
      </x:c>
      <x:c r="G35" s="52" t="n">
        <x:v>45118067</x:v>
      </x:c>
      <x:c r="H35" s="53" t="n">
        <x:v>1</x:v>
      </x:c>
      <x:c r="I35" s="52" t="n">
        <x:f>(G35-F35)*H35</x:f>
        <x:v>15286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PA-02-P032</x:v>
      </x:c>
      <x:c r="C36" s="48" t="n">
        <x:v>46055</x:v>
      </x:c>
      <x:c r="D36" s="45" t="str">
        <x:v>中班</x:v>
      </x:c>
      <x:c r="E36" s="42" t="str">
        <x:v>公辅动力中心（合成）</x:v>
      </x:c>
      <x:c r="F36" s="52" t="n">
        <x:v>45118067</x:v>
      </x:c>
      <x:c r="G36" s="52" t="n">
        <x:v>45136032</x:v>
      </x:c>
      <x:c r="H36" s="53" t="n">
        <x:v>1</x:v>
      </x:c>
      <x:c r="I36" s="52" t="n">
        <x:f>(G36-F36)*H36</x:f>
        <x:v>17965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PA-02-P033</x:v>
      </x:c>
      <x:c r="C37" s="48" t="n">
        <x:v>46062</x:v>
      </x:c>
      <x:c r="D37" s="45" t="str">
        <x:v>夜班</x:v>
      </x:c>
      <x:c r="E37" s="42" t="str">
        <x:v>公辅动力中心（合成）</x:v>
      </x:c>
      <x:c r="F37" s="52" t="n">
        <x:v>45136032</x:v>
      </x:c>
      <x:c r="G37" s="52" t="n">
        <x:v>45150215</x:v>
      </x:c>
      <x:c r="H37" s="53" t="n">
        <x:v>1</x:v>
      </x:c>
      <x:c r="I37" s="52" t="n">
        <x:f>(G37-F37)*H37</x:f>
        <x:v>14183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PA-02-P034</x:v>
      </x:c>
      <x:c r="C38" s="48" t="n">
        <x:v>46069</x:v>
      </x:c>
      <x:c r="D38" s="45" t="str">
        <x:v>白班</x:v>
      </x:c>
      <x:c r="E38" s="42" t="str">
        <x:v>公辅动力中心（合成）</x:v>
      </x:c>
      <x:c r="F38" s="52" t="n">
        <x:v>45150215</x:v>
      </x:c>
      <x:c r="G38" s="52" t="n">
        <x:v>45167077</x:v>
      </x:c>
      <x:c r="H38" s="53" t="n">
        <x:v>1</x:v>
      </x:c>
      <x:c r="I38" s="52" t="n">
        <x:f>(G38-F38)*H38</x:f>
        <x:v>16862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PA-02-P035</x:v>
      </x:c>
      <x:c r="C39" s="48" t="n">
        <x:v>46076</x:v>
      </x:c>
      <x:c r="D39" s="45" t="str">
        <x:v>中班</x:v>
      </x:c>
      <x:c r="E39" s="42" t="str">
        <x:v>公辅动力中心（合成）</x:v>
      </x:c>
      <x:c r="F39" s="52" t="n">
        <x:v>45167077</x:v>
      </x:c>
      <x:c r="G39" s="52" t="n">
        <x:v>45180156</x:v>
      </x:c>
      <x:c r="H39" s="53" t="n">
        <x:v>1</x:v>
      </x:c>
      <x:c r="I39" s="52" t="n">
        <x:f>(G39-F39)*H39</x:f>
        <x:v>13079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PA-02-P036</x:v>
      </x:c>
      <x:c r="C40" s="48" t="n">
        <x:v>46055</x:v>
      </x:c>
      <x:c r="D40" s="45" t="str">
        <x:v>夜班</x:v>
      </x:c>
      <x:c r="E40" s="42" t="str">
        <x:v>公辅动力中心（合成）</x:v>
      </x:c>
      <x:c r="F40" s="52" t="n">
        <x:v>45180156</x:v>
      </x:c>
      <x:c r="G40" s="52" t="n">
        <x:v>45195915</x:v>
      </x:c>
      <x:c r="H40" s="53" t="n">
        <x:v>1</x:v>
      </x:c>
      <x:c r="I40" s="52" t="n">
        <x:f>(G40-F40)*H40</x:f>
        <x:v>15759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PA-02-P037</x:v>
      </x:c>
      <x:c r="C41" s="48" t="n">
        <x:v>46062</x:v>
      </x:c>
      <x:c r="D41" s="45" t="str">
        <x:v>白班</x:v>
      </x:c>
      <x:c r="E41" s="42" t="str">
        <x:v>公辅动力中心（合成）</x:v>
      </x:c>
      <x:c r="F41" s="52" t="n">
        <x:v>45195915</x:v>
      </x:c>
      <x:c r="G41" s="52" t="n">
        <x:v>45214353</x:v>
      </x:c>
      <x:c r="H41" s="53" t="n">
        <x:v>1</x:v>
      </x:c>
      <x:c r="I41" s="52" t="n">
        <x:f>(G41-F41)*H41</x:f>
        <x:v>18438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PA-02-P038</x:v>
      </x:c>
      <x:c r="C42" s="48" t="n">
        <x:v>46069</x:v>
      </x:c>
      <x:c r="D42" s="45" t="str">
        <x:v>中班</x:v>
      </x:c>
      <x:c r="E42" s="42" t="str">
        <x:v>公辅动力中心（合成）</x:v>
      </x:c>
      <x:c r="F42" s="52" t="n">
        <x:v>45214353</x:v>
      </x:c>
      <x:c r="G42" s="52" t="n">
        <x:v>45229008</x:v>
      </x:c>
      <x:c r="H42" s="53" t="n">
        <x:v>1</x:v>
      </x:c>
      <x:c r="I42" s="52" t="n">
        <x:f>(G42-F42)*H42</x:f>
        <x:v>14655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PA-02-P039</x:v>
      </x:c>
      <x:c r="C43" s="48" t="n">
        <x:v>46076</x:v>
      </x:c>
      <x:c r="D43" s="45" t="str">
        <x:v>夜班</x:v>
      </x:c>
      <x:c r="E43" s="42" t="str">
        <x:v>公辅动力中心（合成）</x:v>
      </x:c>
      <x:c r="F43" s="52" t="n">
        <x:v>45229008</x:v>
      </x:c>
      <x:c r="G43" s="52" t="n">
        <x:v>45246342</x:v>
      </x:c>
      <x:c r="H43" s="53" t="n">
        <x:v>1</x:v>
      </x:c>
      <x:c r="I43" s="52" t="n">
        <x:f>(G43-F43)*H43</x:f>
        <x:v>17334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PA-02-P040</x:v>
      </x:c>
      <x:c r="C44" s="48" t="n">
        <x:v>46055</x:v>
      </x:c>
      <x:c r="D44" s="45" t="str">
        <x:v>白班</x:v>
      </x:c>
      <x:c r="E44" s="42" t="str">
        <x:v>公辅动力中心（合成）</x:v>
      </x:c>
      <x:c r="F44" s="52" t="n">
        <x:v>45246342</x:v>
      </x:c>
      <x:c r="G44" s="52" t="n">
        <x:v>45259894</x:v>
      </x:c>
      <x:c r="H44" s="53" t="n">
        <x:v>1</x:v>
      </x:c>
      <x:c r="I44" s="52" t="n">
        <x:f>(G44-F44)*H44</x:f>
        <x:v>13552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PA-02-P041</x:v>
      </x:c>
      <x:c r="C45" s="48" t="n">
        <x:v>46062</x:v>
      </x:c>
      <x:c r="D45" s="45" t="str">
        <x:v>中班</x:v>
      </x:c>
      <x:c r="E45" s="42" t="str">
        <x:v>公辅动力中心（合成）</x:v>
      </x:c>
      <x:c r="F45" s="52" t="n">
        <x:v>45259894</x:v>
      </x:c>
      <x:c r="G45" s="52" t="n">
        <x:v>45276125</x:v>
      </x:c>
      <x:c r="H45" s="53" t="n">
        <x:v>1</x:v>
      </x:c>
      <x:c r="I45" s="52" t="n">
        <x:f>(G45-F45)*H45</x:f>
        <x:v>16231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PA-02-P042</x:v>
      </x:c>
      <x:c r="C46" s="48" t="n">
        <x:v>46069</x:v>
      </x:c>
      <x:c r="D46" s="45" t="str">
        <x:v>夜班</x:v>
      </x:c>
      <x:c r="E46" s="42" t="str">
        <x:v>公辅动力中心（合成）</x:v>
      </x:c>
      <x:c r="F46" s="52" t="n">
        <x:v>45276125</x:v>
      </x:c>
      <x:c r="G46" s="52" t="n">
        <x:v>45295035</x:v>
      </x:c>
      <x:c r="H46" s="53" t="n">
        <x:v>1</x:v>
      </x:c>
      <x:c r="I46" s="52" t="n">
        <x:f>(G46-F46)*H46</x:f>
        <x:v>18910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PA-02-P043</x:v>
      </x:c>
      <x:c r="C47" s="48" t="n">
        <x:v>46076</x:v>
      </x:c>
      <x:c r="D47" s="45" t="str">
        <x:v>白班</x:v>
      </x:c>
      <x:c r="E47" s="42" t="str">
        <x:v>公辅动力中心（合成）</x:v>
      </x:c>
      <x:c r="F47" s="52" t="n">
        <x:v>45295035</x:v>
      </x:c>
      <x:c r="G47" s="52" t="n">
        <x:v>45310163</x:v>
      </x:c>
      <x:c r="H47" s="53" t="n">
        <x:v>1</x:v>
      </x:c>
      <x:c r="I47" s="52" t="n">
        <x:f>(G47-F47)*H47</x:f>
        <x:v>15128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PA-02-P044</x:v>
      </x:c>
      <x:c r="C48" s="48" t="n">
        <x:v>46055</x:v>
      </x:c>
      <x:c r="D48" s="45" t="str">
        <x:v>中班</x:v>
      </x:c>
      <x:c r="E48" s="42" t="str">
        <x:v>公辅动力中心（合成）</x:v>
      </x:c>
      <x:c r="F48" s="52" t="n">
        <x:v>45310163</x:v>
      </x:c>
      <x:c r="G48" s="52" t="n">
        <x:v>45327970</x:v>
      </x:c>
      <x:c r="H48" s="53" t="n">
        <x:v>1</x:v>
      </x:c>
      <x:c r="I48" s="52" t="n">
        <x:f>(G48-F48)*H48</x:f>
        <x:v>17807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PA-02-P045</x:v>
      </x:c>
      <x:c r="C49" s="48" t="n">
        <x:v>46062</x:v>
      </x:c>
      <x:c r="D49" s="45" t="str">
        <x:v>夜班</x:v>
      </x:c>
      <x:c r="E49" s="42" t="str">
        <x:v>公辅动力中心（合成）</x:v>
      </x:c>
      <x:c r="F49" s="52" t="n">
        <x:v>45327970</x:v>
      </x:c>
      <x:c r="G49" s="52" t="n">
        <x:v>45341995</x:v>
      </x:c>
      <x:c r="H49" s="53" t="n">
        <x:v>1</x:v>
      </x:c>
      <x:c r="I49" s="52" t="n">
        <x:f>(G49-F49)*H49</x:f>
        <x:v>14025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PA-02-P046</x:v>
      </x:c>
      <x:c r="C50" s="48" t="n">
        <x:v>46069</x:v>
      </x:c>
      <x:c r="D50" s="45" t="str">
        <x:v>白班</x:v>
      </x:c>
      <x:c r="E50" s="42" t="str">
        <x:v>公辅动力中心（合成）</x:v>
      </x:c>
      <x:c r="F50" s="52" t="n">
        <x:v>45341995</x:v>
      </x:c>
      <x:c r="G50" s="52" t="n">
        <x:v>45358699</x:v>
      </x:c>
      <x:c r="H50" s="53" t="n">
        <x:v>1</x:v>
      </x:c>
      <x:c r="I50" s="52" t="n">
        <x:f>(G50-F50)*H50</x:f>
        <x:v>16704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PA-02-P047</x:v>
      </x:c>
      <x:c r="C51" s="48" t="n">
        <x:v>46076</x:v>
      </x:c>
      <x:c r="D51" s="45" t="str">
        <x:v>中班</x:v>
      </x:c>
      <x:c r="E51" s="42" t="str">
        <x:v>公辅动力中心（合成）</x:v>
      </x:c>
      <x:c r="F51" s="52" t="n">
        <x:v>45358699</x:v>
      </x:c>
      <x:c r="G51" s="52" t="n">
        <x:v>45371621</x:v>
      </x:c>
      <x:c r="H51" s="53" t="n">
        <x:v>1</x:v>
      </x:c>
      <x:c r="I51" s="52" t="n">
        <x:f>(G51-F51)*H51</x:f>
        <x:v>12922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PA-02-P048</x:v>
      </x:c>
      <x:c r="C52" s="48" t="n">
        <x:v>46055</x:v>
      </x:c>
      <x:c r="D52" s="45" t="str">
        <x:v>夜班</x:v>
      </x:c>
      <x:c r="E52" s="42" t="str">
        <x:v>公辅动力中心（合成）</x:v>
      </x:c>
      <x:c r="F52" s="52" t="n">
        <x:v>45371621</x:v>
      </x:c>
      <x:c r="G52" s="52" t="n">
        <x:v>45387222</x:v>
      </x:c>
      <x:c r="H52" s="53" t="n">
        <x:v>1</x:v>
      </x:c>
      <x:c r="I52" s="52" t="n">
        <x:f>(G52-F52)*H52</x:f>
        <x:v>15601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PA-02-P049</x:v>
      </x:c>
      <x:c r="C53" s="48" t="n">
        <x:v>46062</x:v>
      </x:c>
      <x:c r="D53" s="45" t="str">
        <x:v>白班</x:v>
      </x:c>
      <x:c r="E53" s="42" t="str">
        <x:v>公辅动力中心（合成）</x:v>
      </x:c>
      <x:c r="F53" s="52" t="n">
        <x:v>45387222</x:v>
      </x:c>
      <x:c r="G53" s="52" t="n">
        <x:v>45405502</x:v>
      </x:c>
      <x:c r="H53" s="53" t="n">
        <x:v>1</x:v>
      </x:c>
      <x:c r="I53" s="52" t="n">
        <x:f>(G53-F53)*H53</x:f>
        <x:v>18280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PA-02-P050</x:v>
      </x:c>
      <x:c r="C54" s="49" t="n">
        <x:v>46069</x:v>
      </x:c>
      <x:c r="D54" s="46" t="str">
        <x:v>中班</x:v>
      </x:c>
      <x:c r="E54" s="43" t="str">
        <x:v>公辅动力中心（合成）</x:v>
      </x:c>
      <x:c r="F54" s="54" t="n">
        <x:v>45405502</x:v>
      </x:c>
      <x:c r="G54" s="54" t="n">
        <x:v>45420000</x:v>
      </x:c>
      <x:c r="H54" s="55" t="n">
        <x:v>1</x:v>
      </x:c>
      <x:c r="I54" s="54" t="n">
        <x:f>(G54-F54)*H54</x:f>
        <x:v>14498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790000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