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08e60b7d9747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账单摘要" sheetId="1" r:id="Rd3e01f2d2727469c"/>
    <x:sheet xmlns:r="http://schemas.openxmlformats.org/officeDocument/2006/relationships" name="50条用电明细" sheetId="2" r:id="R07514f83059c47cb"/>
    <x:sheet xmlns:r="http://schemas.openxmlformats.org/officeDocument/2006/relationships" name="数据说明" sheetId="3" r:id="R457ecb08957a49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000"/>
    <x:numFmt numFmtId="202" formatCode="#,##0.00"/>
    <x:numFmt numFmtId="203" formatCode="yyyy-mm-dd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0"/>
      <x:color rgb="FF64748B"/>
      <x:name val="Carlito"/>
    </x:font>
    <x:font>
      <x:b/>
      <x:sz val="10"/>
      <x:color rgb="FFFFFFFF"/>
      <x:name val="Carlito"/>
    </x:font>
    <x:font>
      <x:sz val="10"/>
      <x:color rgb="FF17233B"/>
      <x:name val="Carlito"/>
    </x:font>
    <x:font>
      <x:b/>
      <x:sz val="11"/>
      <x:color rgb="FF17233B"/>
      <x:name val="Carlito"/>
    </x:font>
    <x:font>
      <x:b/>
      <x:sz val="11"/>
      <x:color rgb="FF087A5B"/>
      <x:name val="Carlito"/>
    </x:font>
    <x:font>
      <x:sz val="10"/>
      <x:color rgb="FF8A5A00"/>
      <x:name val="Carlito"/>
    </x:font>
    <x:font>
      <x:sz val="9"/>
      <x:color rgb="FF17233B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2345B"/>
      </x:patternFill>
    </x:fill>
    <x:fill>
      <x:patternFill patternType="solid">
        <x:fgColor rgb="FFEAF2FF"/>
      </x:patternFill>
    </x:fill>
    <x:fill>
      <x:patternFill patternType="solid">
        <x:fgColor rgb="FF2563EB"/>
      </x:patternFill>
    </x:fill>
    <x:fill>
      <x:patternFill patternType="solid">
        <x:fgColor rgb="FFFFFFFF"/>
      </x:patternFill>
    </x:fill>
    <x:fill>
      <x:patternFill patternType="solid">
        <x:fgColor rgb="FFE9F8F2"/>
      </x:patternFill>
    </x:fill>
    <x:fill>
      <x:patternFill patternType="solid">
        <x:fgColor rgb="FFFFF7E7"/>
      </x:patternFill>
    </x:fill>
  </x:fills>
  <x:borders count="16">
    <x:border/>
    <x:border>
      <x:left style="thin">
        <x:color rgb="FFD9E2F0"/>
      </x:left>
      <x:right style="thin">
        <x:color rgb="FFD9E2F0"/>
      </x:right>
      <x:top style="thin">
        <x:color rgb="FFD9E2F0"/>
      </x:top>
      <x:bottom style="thin">
        <x:color rgb="FFD9E2F0"/>
      </x:bottom>
    </x:border>
    <x:border>
      <x:left style="thin">
        <x:color rgb="FFF2C46D"/>
      </x:left>
      <x:top style="thin">
        <x:color rgb="FFF2C46D"/>
      </x:top>
    </x:border>
    <x:border>
      <x:top style="thin">
        <x:color rgb="FFF2C46D"/>
      </x:top>
    </x:border>
    <x:border>
      <x:right style="thin">
        <x:color rgb="FFF2C46D"/>
      </x:right>
      <x:top style="thin">
        <x:color rgb="FFF2C46D"/>
      </x:top>
    </x:border>
    <x:border>
      <x:left style="thin">
        <x:color rgb="FFF2C46D"/>
      </x:left>
    </x:border>
    <x:border>
      <x:right style="thin">
        <x:color rgb="FFF2C46D"/>
      </x:right>
    </x:border>
    <x:border>
      <x:left style="thin">
        <x:color rgb="FFF2C46D"/>
      </x:left>
      <x:bottom style="thin">
        <x:color rgb="FFF2C46D"/>
      </x:bottom>
    </x:border>
    <x:border>
      <x:bottom style="thin">
        <x:color rgb="FFF2C46D"/>
      </x:bottom>
    </x:border>
    <x:border>
      <x:right style="thin">
        <x:color rgb="FFF2C46D"/>
      </x:right>
      <x:bottom style="thin">
        <x:color rgb="FFF2C46D"/>
      </x:bottom>
    </x:border>
    <x:border>
      <x:bottom style="thin">
        <x:color rgb="FFE8EEF7"/>
      </x:bottom>
    </x:border>
    <x:border>
      <x:top style="thin">
        <x:color rgb="FFE8EEF7"/>
      </x:top>
      <x:bottom style="thin">
        <x:color rgb="FFE8EEF7"/>
      </x:bottom>
    </x:border>
    <x:border>
      <x:top style="thin">
        <x:color rgb="FFE8EEF7"/>
      </x:top>
    </x:border>
    <x:border>
      <x:left style="medium">
        <x:color rgb="FF16B7A7"/>
      </x:left>
      <x:top style="medium">
        <x:color rgb="FF16B7A7"/>
      </x:top>
      <x:bottom style="medium">
        <x:color rgb="FF16B7A7"/>
      </x:bottom>
    </x:border>
    <x:border>
      <x:top style="medium">
        <x:color rgb="FF16B7A7"/>
      </x:top>
      <x:bottom style="medium">
        <x:color rgb="FF16B7A7"/>
      </x:bottom>
    </x:border>
    <x:border>
      <x:right style="medium">
        <x:color rgb="FF16B7A7"/>
      </x:right>
      <x:top style="medium">
        <x:color rgb="FF16B7A7"/>
      </x:top>
      <x:bottom style="medium">
        <x:color rgb="FF16B7A7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vertical="center" wrapText="1"/>
    </x:xf>
    <x:xf numFmtId="201" fontId="4" fillId="5" borderId="1" xfId="0" applyNumberFormat="1" applyFont="1" applyFill="1" applyBorder="1" applyAlignment="1">
      <x:alignment vertical="center" wrapText="1"/>
    </x:xf>
    <x:xf numFmtId="202" fontId="4" fillId="5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5" fillId="3" borderId="1" xfId="0" applyNumberFormat="1" applyFont="1" applyFill="1" applyBorder="1"/>
    <x:xf numFmtId="200" fontId="0" fillId="0" borderId="1" xfId="0" applyNumberFormat="1" applyFont="1" applyFill="1" applyBorder="1"/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0" fontId="7" fillId="7" borderId="2" xfId="0" applyNumberFormat="1" applyFont="1" applyFill="1" applyBorder="1" applyAlignment="1">
      <x:alignment vertical="center" wrapText="1"/>
    </x:xf>
    <x:xf numFmtId="0" fontId="7" fillId="7" borderId="3" xfId="0" applyNumberFormat="1" applyFont="1" applyFill="1" applyBorder="1" applyAlignment="1">
      <x:alignment vertical="center" wrapText="1"/>
    </x:xf>
    <x:xf numFmtId="0" fontId="7" fillId="7" borderId="4" xfId="0" applyNumberFormat="1" applyFont="1" applyFill="1" applyBorder="1" applyAlignment="1">
      <x:alignment vertical="center" wrapText="1"/>
    </x:xf>
    <x:xf numFmtId="0" fontId="7" fillId="7" borderId="5" xfId="0" applyNumberFormat="1" applyFont="1" applyFill="1" applyBorder="1" applyAlignment="1">
      <x:alignment vertical="center" wrapText="1"/>
    </x:xf>
    <x:xf numFmtId="0" fontId="7" fillId="7" borderId="6" xfId="0" applyNumberFormat="1" applyFont="1" applyFill="1" applyBorder="1" applyAlignment="1">
      <x:alignment vertical="center" wrapText="1"/>
    </x:xf>
    <x:xf numFmtId="0" fontId="7" fillId="7" borderId="7" xfId="0" applyNumberFormat="1" applyFont="1" applyFill="1" applyBorder="1" applyAlignment="1">
      <x:alignment vertical="center" wrapText="1"/>
    </x:xf>
    <x:xf numFmtId="0" fontId="7" fillId="7" borderId="8" xfId="0" applyNumberFormat="1" applyFont="1" applyFill="1" applyBorder="1" applyAlignment="1">
      <x:alignment vertical="center" wrapText="1"/>
    </x:xf>
    <x:xf numFmtId="0" fontId="7" fillId="7" borderId="9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8" fillId="0" borderId="10" xfId="0" applyNumberFormat="1" applyFont="1" applyFill="1" applyBorder="1"/>
    <x:xf numFmtId="0" fontId="8" fillId="0" borderId="11" xfId="0" applyNumberFormat="1" applyFont="1" applyFill="1" applyBorder="1"/>
    <x:xf numFmtId="0" fontId="8" fillId="0" borderId="12" xfId="0" applyNumberFormat="1" applyFont="1" applyFill="1" applyBorder="1"/>
    <x:xf numFmtId="0" fontId="8" fillId="0" borderId="10" xfId="0" applyNumberFormat="1" applyFont="1" applyFill="1" applyBorder="1" applyAlignment="1">
      <x:alignment horizontal="center"/>
    </x:xf>
    <x:xf numFmtId="0" fontId="8" fillId="0" borderId="11" xfId="0" applyNumberFormat="1" applyFont="1" applyFill="1" applyBorder="1" applyAlignment="1">
      <x:alignment horizontal="center"/>
    </x:xf>
    <x:xf numFmtId="0" fontId="8" fillId="0" borderId="12" xfId="0" applyNumberFormat="1" applyFont="1" applyFill="1" applyBorder="1" applyAlignment="1">
      <x:alignment horizontal="center"/>
    </x:xf>
    <x:xf numFmtId="203" fontId="8" fillId="0" borderId="10" xfId="0" applyNumberFormat="1" applyFont="1" applyFill="1" applyBorder="1" applyAlignment="1">
      <x:alignment horizontal="center"/>
    </x:xf>
    <x:xf numFmtId="203" fontId="8" fillId="0" borderId="11" xfId="0" applyNumberFormat="1" applyFont="1" applyFill="1" applyBorder="1" applyAlignment="1">
      <x:alignment horizontal="center"/>
    </x:xf>
    <x:xf numFmtId="203" fontId="8" fillId="0" borderId="12" xfId="0" applyNumberFormat="1" applyFont="1" applyFill="1" applyBorder="1" applyAlignment="1">
      <x:alignment horizontal="center"/>
    </x:xf>
    <x:xf numFmtId="200" fontId="8" fillId="0" borderId="10" xfId="0" applyNumberFormat="1" applyFont="1" applyFill="1" applyBorder="1"/>
    <x:xf numFmtId="200" fontId="8" fillId="0" borderId="10" xfId="0" applyNumberFormat="1" applyFont="1" applyFill="1" applyBorder="1" applyAlignment="1">
      <x:alignment horizontal="center"/>
    </x:xf>
    <x:xf numFmtId="200" fontId="8" fillId="0" borderId="11" xfId="0" applyNumberFormat="1" applyFont="1" applyFill="1" applyBorder="1"/>
    <x:xf numFmtId="200" fontId="8" fillId="0" borderId="11" xfId="0" applyNumberFormat="1" applyFont="1" applyFill="1" applyBorder="1" applyAlignment="1">
      <x:alignment horizontal="center"/>
    </x:xf>
    <x:xf numFmtId="200" fontId="8" fillId="0" borderId="12" xfId="0" applyNumberFormat="1" applyFont="1" applyFill="1" applyBorder="1"/>
    <x:xf numFmtId="200" fontId="8" fillId="0" borderId="12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13" xfId="0" applyNumberFormat="1" applyFont="1" applyFill="1" applyBorder="1"/>
    <x:xf numFmtId="0" fontId="6" fillId="6" borderId="14" xfId="0" applyNumberFormat="1" applyFont="1" applyFill="1" applyBorder="1"/>
    <x:xf numFmtId="0" fontId="6" fillId="6" borderId="15" xfId="0" applyNumberFormat="1" applyFont="1" applyFill="1" applyBorder="1"/>
    <x:xf numFmtId="200" fontId="6" fillId="6" borderId="14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4a67ce30074d49" /><Relationship Type="http://schemas.openxmlformats.org/officeDocument/2006/relationships/theme" Target="/xl/theme/theme1.xml" Id="Ra9ce267408374e11" /><Relationship Type="http://schemas.openxmlformats.org/officeDocument/2006/relationships/sharedStrings" Target="/xl/sharedStrings.xml" Id="R0951a5c9e52c42eb" /><Relationship Type="http://schemas.openxmlformats.org/officeDocument/2006/relationships/worksheet" Target="/xl/worksheets/sheet1.xml" Id="Rd3e01f2d2727469c" /><Relationship Type="http://schemas.openxmlformats.org/officeDocument/2006/relationships/worksheet" Target="/xl/worksheets/sheet2.xml" Id="R07514f83059c47cb" /><Relationship Type="http://schemas.openxmlformats.org/officeDocument/2006/relationships/worksheet" Target="/xl/worksheets/sheet3.xml" Id="R457ecb08957a499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5" hidden="0" customWidth="1"/>
    <x:col min="3" max="3" width="15" hidden="0" customWidth="1"/>
    <x:col min="4" max="4" width="24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24" hidden="0" customWidth="1"/>
    <x:col min="11" max="11" width="32" hidden="0" customWidth="1"/>
  </x:cols>
  <x:sheetData>
    <x:row r="1" ht="34" customHeight="1">
      <x:c r="A1" s="3" t="str">
        <x:v>DEMO ONLY｜合成工商业电费账单</x:v>
      </x:c>
      <x:c r="B1" s="3" t="str">
        <x:v>DEMO ONLY｜合成工商业电费账单</x:v>
      </x:c>
      <x:c r="C1" s="3" t="str">
        <x:v>DEMO ONLY｜合成工商业电费账单</x:v>
      </x:c>
      <x:c r="D1" s="3" t="str">
        <x:v>DEMO ONLY｜合成工商业电费账单</x:v>
      </x:c>
      <x:c r="E1" s="3" t="str">
        <x:v>DEMO ONLY｜合成工商业电费账单</x:v>
      </x:c>
      <x:c r="F1" s="3" t="str">
        <x:v>DEMO ONLY｜合成工商业电费账单</x:v>
      </x:c>
      <x:c r="G1" s="3" t="str">
        <x:v>DEMO ONLY｜合成工商业电费账单</x:v>
      </x:c>
      <x:c r="H1" s="3" t="str">
        <x:v>DEMO ONLY｜合成工商业电费账单</x:v>
      </x:c>
      <x:c r="I1" s="3" t="str">
        <x:v>DEMO ONLY｜合成工商业电费账单</x:v>
      </x:c>
      <x:c r="J1" s="3" t="str">
        <x:v>DEMO ONLY｜合成工商业电费账单</x:v>
      </x:c>
      <x:c r="K1" s="3" t="str">
        <x:v>DEMO ONLY｜合成工商业电费账单</x:v>
      </x:c>
    </x:row>
    <x:row r="2" ht="28" customHeight="1">
      <x:c r="A2" s="7" t="str">
        <x:v>用于零碳云受控演示：本页是一条月度汇总，第二页包含50条可追溯用电明细；不代表真实客户或监管数据。</x:v>
      </x:c>
      <x:c r="B2" s="7" t="str">
        <x:v>用于零碳云受控演示：本页是一条月度汇总，第二页包含50条可追溯用电明细；不代表真实客户或监管数据。</x:v>
      </x:c>
      <x:c r="C2" s="7" t="str">
        <x:v>用于零碳云受控演示：本页是一条月度汇总，第二页包含50条可追溯用电明细；不代表真实客户或监管数据。</x:v>
      </x:c>
      <x:c r="D2" s="7" t="str">
        <x:v>用于零碳云受控演示：本页是一条月度汇总，第二页包含50条可追溯用电明细；不代表真实客户或监管数据。</x:v>
      </x:c>
      <x:c r="E2" s="7" t="str">
        <x:v>用于零碳云受控演示：本页是一条月度汇总，第二页包含50条可追溯用电明细；不代表真实客户或监管数据。</x:v>
      </x:c>
      <x:c r="F2" s="7" t="str">
        <x:v>用于零碳云受控演示：本页是一条月度汇总，第二页包含50条可追溯用电明细；不代表真实客户或监管数据。</x:v>
      </x:c>
      <x:c r="G2" s="7" t="str">
        <x:v>用于零碳云受控演示：本页是一条月度汇总，第二页包含50条可追溯用电明细；不代表真实客户或监管数据。</x:v>
      </x:c>
      <x:c r="H2" s="7" t="str">
        <x:v>用于零碳云受控演示：本页是一条月度汇总，第二页包含50条可追溯用电明细；不代表真实客户或监管数据。</x:v>
      </x:c>
      <x:c r="I2" s="7" t="str">
        <x:v>用于零碳云受控演示：本页是一条月度汇总，第二页包含50条可追溯用电明细；不代表真实客户或监管数据。</x:v>
      </x:c>
      <x:c r="J2" s="7" t="str">
        <x:v>用于零碳云受控演示：本页是一条月度汇总，第二页包含50条可追溯用电明细；不代表真实客户或监管数据。</x:v>
      </x:c>
      <x:c r="K2" s="7" t="str">
        <x:v>用于零碳云受控演示：本页是一条月度汇总，第二页包含50条可追溯用电明细；不代表真实客户或监管数据。</x:v>
      </x:c>
    </x:row>
    <x:row r="4" ht="28" customHeight="1">
      <x:c r="A4" s="13" t="str">
        <x:v>供电公司</x:v>
      </x:c>
      <x:c r="B4" s="13" t="str">
        <x:v>户名</x:v>
      </x:c>
      <x:c r="C4" s="13" t="str">
        <x:v>户号</x:v>
      </x:c>
      <x:c r="D4" s="13" t="str">
        <x:v>账单月份</x:v>
      </x:c>
      <x:c r="E4" s="13" t="str">
        <x:v>本期用电量(kWh)</x:v>
      </x:c>
      <x:c r="F4" s="13" t="str">
        <x:v>电价(元/kWh)</x:v>
      </x:c>
      <x:c r="G4" s="13" t="str">
        <x:v>电费合计(元)</x:v>
      </x:c>
      <x:c r="H4" s="13" t="str">
        <x:v>上期读数(kWh)</x:v>
      </x:c>
      <x:c r="I4" s="13" t="str">
        <x:v>本期读数(kWh)</x:v>
      </x:c>
      <x:c r="J4" s="13" t="str">
        <x:v>所属工厂</x:v>
      </x:c>
      <x:c r="K4" s="13" t="str">
        <x:v>数据标识</x:v>
      </x:c>
    </x:row>
    <x:row r="5" ht="42" customHeight="1">
      <x:c r="A5" s="18" t="str">
        <x:v>DEMO ONLY｜合成供电公司（非真实主体）</x:v>
      </x:c>
      <x:c r="B5" s="18" t="str">
        <x:v>DEMO ONLY｜华盛钢铁演示企业（非真实客户）</x:v>
      </x:c>
      <x:c r="C5" s="18" t="str">
        <x:v>DEMO-AS-2601</x:v>
      </x:c>
      <x:c r="D5" s="18" t="str">
        <x:v>2026-01-01 至 2026-01-31</x:v>
      </x:c>
      <x:c r="E5" s="19" t="n">
        <x:v>310000</x:v>
      </x:c>
      <x:c r="F5" s="20" t="n">
        <x:v>0.719</x:v>
      </x:c>
      <x:c r="G5" s="21" t="n">
        <x:v>222890</x:v>
      </x:c>
      <x:c r="H5" s="21" t="n">
        <x:v>21600000</x:v>
      </x:c>
      <x:c r="I5" s="21" t="n">
        <x:v>21910000</x:v>
      </x:c>
      <x:c r="J5" s="18" t="str">
        <x:v>空压站（合成）</x:v>
      </x:c>
      <x:c r="K5" s="18" t="str">
        <x:v>DEMO ONLY / SYNTHETIC / NOT FOR REPORTING</x:v>
      </x:c>
    </x:row>
    <x:row r="8" ht="28" customHeight="1">
      <x:c r="A8" s="13" t="str">
        <x:v>核对项目</x:v>
      </x:c>
      <x:c r="B8" s="13" t="str">
        <x:v>结果</x:v>
      </x:c>
    </x:row>
    <x:row r="9">
      <x:c r="A9" s="24" t="str">
        <x:v>摘要电量(kWh)</x:v>
      </x:c>
      <x:c r="B9" s="25" t="n">
        <x:v>310000</x:v>
      </x:c>
    </x:row>
    <x:row r="10">
      <x:c r="A10" s="24" t="str">
        <x:v>50条明细合计(kWh)</x:v>
      </x:c>
      <x:c r="B10" s="25" t="n">
        <x:f>SUM('50条用电明细'!I5:I54)</x:f>
        <x:v>310000</x:v>
      </x:c>
    </x:row>
    <x:row r="11">
      <x:c r="A11" s="24" t="str">
        <x:v>差额(kWh)</x:v>
      </x:c>
      <x:c r="B11" s="25" t="n">
        <x:f>B9-B10</x:f>
        <x:v>0</x:v>
      </x:c>
    </x:row>
    <x:row r="12">
      <x:c r="A12" s="24" t="str">
        <x:v>一致性校验</x:v>
      </x:c>
      <x:c r="B12" s="27" t="str">
        <x:f>IF(B11=0,"通过","异常")</x:f>
        <x:v>通过</x:v>
      </x:c>
    </x:row>
    <x:row r="15">
      <x:c r="A15" s="32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B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C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D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E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F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G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H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I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J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K15" s="34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</x:row>
    <x:row r="16">
      <x:c r="A16" s="35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B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C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D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E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F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G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H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I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J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K16" s="36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</x:row>
    <x:row r="17">
      <x:c r="A17" s="37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B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C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D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E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F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G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H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I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J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K17" s="39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</x:row>
  </x:sheetData>
  <x:mergeCells>
    <x:mergeCell ref="A1:K1"/>
    <x:mergeCell ref="A2:K2"/>
    <x:mergeCell ref="A15:K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0" hidden="0" customWidth="1"/>
    <x:col min="3" max="3" width="13" hidden="0" customWidth="1"/>
    <x:col min="4" max="4" width="10" hidden="0" customWidth="1"/>
    <x:col min="5" max="5" width="25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3" hidden="0" customWidth="1"/>
    <x:col min="11" max="11" width="20" hidden="0" customWidth="1"/>
    <x:col min="12" max="12" width="25" hidden="0" customWidth="1"/>
  </x:cols>
  <x:sheetData>
    <x:row r="1" ht="34" customHeight="1">
      <x:c r="A1" s="3" t="str">
        <x:v>空压站（合成）｜2026-01-01 至 2026-01-31｜50条用电明细</x:v>
      </x:c>
      <x:c r="B1" s="3" t="str">
        <x:v>空压站（合成）｜2026-01-01 至 2026-01-31｜50条用电明细</x:v>
      </x:c>
      <x:c r="C1" s="3" t="str">
        <x:v>空压站（合成）｜2026-01-01 至 2026-01-31｜50条用电明细</x:v>
      </x:c>
      <x:c r="D1" s="3" t="str">
        <x:v>空压站（合成）｜2026-01-01 至 2026-01-31｜50条用电明细</x:v>
      </x:c>
      <x:c r="E1" s="3" t="str">
        <x:v>空压站（合成）｜2026-01-01 至 2026-01-31｜50条用电明细</x:v>
      </x:c>
      <x:c r="F1" s="3" t="str">
        <x:v>空压站（合成）｜2026-01-01 至 2026-01-31｜50条用电明细</x:v>
      </x:c>
      <x:c r="G1" s="3" t="str">
        <x:v>空压站（合成）｜2026-01-01 至 2026-01-31｜50条用电明细</x:v>
      </x:c>
      <x:c r="H1" s="3" t="str">
        <x:v>空压站（合成）｜2026-01-01 至 2026-01-31｜50条用电明细</x:v>
      </x:c>
      <x:c r="I1" s="3" t="str">
        <x:v>空压站（合成）｜2026-01-01 至 2026-01-31｜50条用电明细</x:v>
      </x:c>
      <x:c r="J1" s="3" t="str">
        <x:v>空压站（合成）｜2026-01-01 至 2026-01-31｜50条用电明细</x:v>
      </x:c>
      <x:c r="K1" s="3" t="str">
        <x:v>空压站（合成）｜2026-01-01 至 2026-01-31｜50条用电明细</x:v>
      </x:c>
      <x:c r="L1" s="3" t="str">
        <x:v>空压站（合成）｜2026-01-01 至 2026-01-31｜50条用电明细</x:v>
      </x:c>
    </x:row>
    <x:row r="2" ht="28" customHeight="1">
      <x:c r="A2" s="7" t="str">
        <x:v>每行代表一个合成计量点/班次读数；第55行合计必须与账单摘要完全一致。</x:v>
      </x:c>
      <x:c r="B2" s="7" t="str">
        <x:v>每行代表一个合成计量点/班次读数；第55行合计必须与账单摘要完全一致。</x:v>
      </x:c>
      <x:c r="C2" s="7" t="str">
        <x:v>每行代表一个合成计量点/班次读数；第55行合计必须与账单摘要完全一致。</x:v>
      </x:c>
      <x:c r="D2" s="7" t="str">
        <x:v>每行代表一个合成计量点/班次读数；第55行合计必须与账单摘要完全一致。</x:v>
      </x:c>
      <x:c r="E2" s="7" t="str">
        <x:v>每行代表一个合成计量点/班次读数；第55行合计必须与账单摘要完全一致。</x:v>
      </x:c>
      <x:c r="F2" s="7" t="str">
        <x:v>每行代表一个合成计量点/班次读数；第55行合计必须与账单摘要完全一致。</x:v>
      </x:c>
      <x:c r="G2" s="7" t="str">
        <x:v>每行代表一个合成计量点/班次读数；第55行合计必须与账单摘要完全一致。</x:v>
      </x:c>
      <x:c r="H2" s="7" t="str">
        <x:v>每行代表一个合成计量点/班次读数；第55行合计必须与账单摘要完全一致。</x:v>
      </x:c>
      <x:c r="I2" s="7" t="str">
        <x:v>每行代表一个合成计量点/班次读数；第55行合计必须与账单摘要完全一致。</x:v>
      </x:c>
      <x:c r="J2" s="7" t="str">
        <x:v>每行代表一个合成计量点/班次读数；第55行合计必须与账单摘要完全一致。</x:v>
      </x:c>
      <x:c r="K2" s="7" t="str">
        <x:v>每行代表一个合成计量点/班次读数；第55行合计必须与账单摘要完全一致。</x:v>
      </x:c>
      <x:c r="L2" s="7" t="str">
        <x:v>每行代表一个合成计量点/班次读数；第55行合计必须与账单摘要完全一致。</x:v>
      </x:c>
    </x:row>
    <x:row r="4" ht="28" customHeight="1">
      <x:c r="A4" s="13" t="str">
        <x:v>序号</x:v>
      </x:c>
      <x:c r="B4" s="13" t="str">
        <x:v>计量点编号</x:v>
      </x:c>
      <x:c r="C4" s="13" t="str">
        <x:v>采集日期</x:v>
      </x:c>
      <x:c r="D4" s="13" t="str">
        <x:v>班次</x:v>
      </x:c>
      <x:c r="E4" s="13" t="str">
        <x:v>生产区域</x:v>
      </x:c>
      <x:c r="F4" s="13" t="str">
        <x:v>起始读数(kWh)</x:v>
      </x:c>
      <x:c r="G4" s="13" t="str">
        <x:v>结束读数(kWh)</x:v>
      </x:c>
      <x:c r="H4" s="13" t="str">
        <x:v>倍率</x:v>
      </x:c>
      <x:c r="I4" s="13" t="str">
        <x:v>用电量(kWh)</x:v>
      </x:c>
      <x:c r="J4" s="13" t="str">
        <x:v>数据状态</x:v>
      </x:c>
      <x:c r="K4" s="13" t="str">
        <x:v>数据来源</x:v>
      </x:c>
      <x:c r="L4" s="13" t="str">
        <x:v>数据标识</x:v>
      </x:c>
    </x:row>
    <x:row r="5">
      <x:c r="A5" s="44" t="n">
        <x:v>1</x:v>
      </x:c>
      <x:c r="B5" s="41" t="str">
        <x:v>AS-01-P001</x:v>
      </x:c>
      <x:c r="C5" s="47" t="n">
        <x:v>46033</x:v>
      </x:c>
      <x:c r="D5" s="44" t="str">
        <x:v>白班</x:v>
      </x:c>
      <x:c r="E5" s="41" t="str">
        <x:v>空压站（合成）</x:v>
      </x:c>
      <x:c r="F5" s="50" t="n">
        <x:v>21600000</x:v>
      </x:c>
      <x:c r="G5" s="50" t="n">
        <x:v>21607068</x:v>
      </x:c>
      <x:c r="H5" s="51" t="n">
        <x:v>1</x:v>
      </x:c>
      <x:c r="I5" s="50" t="n">
        <x:f>(G5-F5)*H5</x:f>
        <x:v>7068</x:v>
      </x:c>
      <x:c r="J5" s="44" t="str">
        <x:v>复核通过</x:v>
      </x:c>
      <x:c r="K5" s="41" t="str">
        <x:v>智能电表导出（合成）</x:v>
      </x:c>
      <x:c r="L5" s="41" t="str">
        <x:v>DEMO ONLY / SYNTHETIC</x:v>
      </x:c>
    </x:row>
    <x:row r="6">
      <x:c r="A6" s="45" t="n">
        <x:v>2</x:v>
      </x:c>
      <x:c r="B6" s="42" t="str">
        <x:v>AS-01-P002</x:v>
      </x:c>
      <x:c r="C6" s="48" t="n">
        <x:v>46040</x:v>
      </x:c>
      <x:c r="D6" s="45" t="str">
        <x:v>中班</x:v>
      </x:c>
      <x:c r="E6" s="42" t="str">
        <x:v>空压站（合成）</x:v>
      </x:c>
      <x:c r="F6" s="52" t="n">
        <x:v>21607068</x:v>
      </x:c>
      <x:c r="G6" s="52" t="n">
        <x:v>21612648</x:v>
      </x:c>
      <x:c r="H6" s="53" t="n">
        <x:v>1</x:v>
      </x:c>
      <x:c r="I6" s="52" t="n">
        <x:f>(G6-F6)*H6</x:f>
        <x:v>5580</x:v>
      </x:c>
      <x:c r="J6" s="45" t="str">
        <x:v>正常</x:v>
      </x:c>
      <x:c r="K6" s="42" t="str">
        <x:v>智能电表导出（合成）</x:v>
      </x:c>
      <x:c r="L6" s="42" t="str">
        <x:v>DEMO ONLY / SYNTHETIC</x:v>
      </x:c>
    </x:row>
    <x:row r="7">
      <x:c r="A7" s="45" t="n">
        <x:v>3</x:v>
      </x:c>
      <x:c r="B7" s="42" t="str">
        <x:v>AS-01-P003</x:v>
      </x:c>
      <x:c r="C7" s="48" t="n">
        <x:v>46047</x:v>
      </x:c>
      <x:c r="D7" s="45" t="str">
        <x:v>夜班</x:v>
      </x:c>
      <x:c r="E7" s="42" t="str">
        <x:v>空压站（合成）</x:v>
      </x:c>
      <x:c r="F7" s="52" t="n">
        <x:v>21612648</x:v>
      </x:c>
      <x:c r="G7" s="52" t="n">
        <x:v>21619282</x:v>
      </x:c>
      <x:c r="H7" s="53" t="n">
        <x:v>1</x:v>
      </x:c>
      <x:c r="I7" s="52" t="n">
        <x:f>(G7-F7)*H7</x:f>
        <x:v>6634</x:v>
      </x:c>
      <x:c r="J7" s="45" t="str">
        <x:v>正常</x:v>
      </x:c>
      <x:c r="K7" s="42" t="str">
        <x:v>智能电表导出（合成）</x:v>
      </x:c>
      <x:c r="L7" s="42" t="str">
        <x:v>DEMO ONLY / SYNTHETIC</x:v>
      </x:c>
    </x:row>
    <x:row r="8">
      <x:c r="A8" s="45" t="n">
        <x:v>4</x:v>
      </x:c>
      <x:c r="B8" s="42" t="str">
        <x:v>AS-01-P004</x:v>
      </x:c>
      <x:c r="C8" s="48" t="n">
        <x:v>46023</x:v>
      </x:c>
      <x:c r="D8" s="45" t="str">
        <x:v>白班</x:v>
      </x:c>
      <x:c r="E8" s="42" t="str">
        <x:v>空压站（合成）</x:v>
      </x:c>
      <x:c r="F8" s="52" t="n">
        <x:v>21619282</x:v>
      </x:c>
      <x:c r="G8" s="52" t="n">
        <x:v>21624428</x:v>
      </x:c>
      <x:c r="H8" s="53" t="n">
        <x:v>1</x:v>
      </x:c>
      <x:c r="I8" s="52" t="n">
        <x:f>(G8-F8)*H8</x:f>
        <x:v>5146</x:v>
      </x:c>
      <x:c r="J8" s="45" t="str">
        <x:v>正常</x:v>
      </x:c>
      <x:c r="K8" s="42" t="str">
        <x:v>智能电表导出（合成）</x:v>
      </x:c>
      <x:c r="L8" s="42" t="str">
        <x:v>DEMO ONLY / SYNTHETIC</x:v>
      </x:c>
    </x:row>
    <x:row r="9">
      <x:c r="A9" s="45" t="n">
        <x:v>5</x:v>
      </x:c>
      <x:c r="B9" s="42" t="str">
        <x:v>AS-01-P005</x:v>
      </x:c>
      <x:c r="C9" s="48" t="n">
        <x:v>46030</x:v>
      </x:c>
      <x:c r="D9" s="45" t="str">
        <x:v>中班</x:v>
      </x:c>
      <x:c r="E9" s="42" t="str">
        <x:v>空压站（合成）</x:v>
      </x:c>
      <x:c r="F9" s="52" t="n">
        <x:v>21624428</x:v>
      </x:c>
      <x:c r="G9" s="52" t="n">
        <x:v>21630628</x:v>
      </x:c>
      <x:c r="H9" s="53" t="n">
        <x:v>1</x:v>
      </x:c>
      <x:c r="I9" s="52" t="n">
        <x:f>(G9-F9)*H9</x:f>
        <x:v>6200</x:v>
      </x:c>
      <x:c r="J9" s="45" t="str">
        <x:v>正常</x:v>
      </x:c>
      <x:c r="K9" s="42" t="str">
        <x:v>智能电表导出（合成）</x:v>
      </x:c>
      <x:c r="L9" s="42" t="str">
        <x:v>DEMO ONLY / SYNTHETIC</x:v>
      </x:c>
    </x:row>
    <x:row r="10">
      <x:c r="A10" s="45" t="n">
        <x:v>6</x:v>
      </x:c>
      <x:c r="B10" s="42" t="str">
        <x:v>AS-01-P006</x:v>
      </x:c>
      <x:c r="C10" s="48" t="n">
        <x:v>46037</x:v>
      </x:c>
      <x:c r="D10" s="45" t="str">
        <x:v>夜班</x:v>
      </x:c>
      <x:c r="E10" s="42" t="str">
        <x:v>空压站（合成）</x:v>
      </x:c>
      <x:c r="F10" s="52" t="n">
        <x:v>21630628</x:v>
      </x:c>
      <x:c r="G10" s="52" t="n">
        <x:v>21637882</x:v>
      </x:c>
      <x:c r="H10" s="53" t="n">
        <x:v>1</x:v>
      </x:c>
      <x:c r="I10" s="52" t="n">
        <x:f>(G10-F10)*H10</x:f>
        <x:v>7254</x:v>
      </x:c>
      <x:c r="J10" s="45" t="str">
        <x:v>正常</x:v>
      </x:c>
      <x:c r="K10" s="42" t="str">
        <x:v>智能电表导出（合成）</x:v>
      </x:c>
      <x:c r="L10" s="42" t="str">
        <x:v>DEMO ONLY / SYNTHETIC</x:v>
      </x:c>
    </x:row>
    <x:row r="11">
      <x:c r="A11" s="45" t="n">
        <x:v>7</x:v>
      </x:c>
      <x:c r="B11" s="42" t="str">
        <x:v>AS-01-P007</x:v>
      </x:c>
      <x:c r="C11" s="48" t="n">
        <x:v>46044</x:v>
      </x:c>
      <x:c r="D11" s="45" t="str">
        <x:v>白班</x:v>
      </x:c>
      <x:c r="E11" s="42" t="str">
        <x:v>空压站（合成）</x:v>
      </x:c>
      <x:c r="F11" s="52" t="n">
        <x:v>21637882</x:v>
      </x:c>
      <x:c r="G11" s="52" t="n">
        <x:v>21643648</x:v>
      </x:c>
      <x:c r="H11" s="53" t="n">
        <x:v>1</x:v>
      </x:c>
      <x:c r="I11" s="52" t="n">
        <x:f>(G11-F11)*H11</x:f>
        <x:v>5766</x:v>
      </x:c>
      <x:c r="J11" s="45" t="str">
        <x:v>正常</x:v>
      </x:c>
      <x:c r="K11" s="42" t="str">
        <x:v>智能电表导出（合成）</x:v>
      </x:c>
      <x:c r="L11" s="42" t="str">
        <x:v>DEMO ONLY / SYNTHETIC</x:v>
      </x:c>
    </x:row>
    <x:row r="12">
      <x:c r="A12" s="45" t="n">
        <x:v>8</x:v>
      </x:c>
      <x:c r="B12" s="42" t="str">
        <x:v>AS-01-P008</x:v>
      </x:c>
      <x:c r="C12" s="48" t="n">
        <x:v>46051</x:v>
      </x:c>
      <x:c r="D12" s="45" t="str">
        <x:v>中班</x:v>
      </x:c>
      <x:c r="E12" s="42" t="str">
        <x:v>空压站（合成）</x:v>
      </x:c>
      <x:c r="F12" s="52" t="n">
        <x:v>21643648</x:v>
      </x:c>
      <x:c r="G12" s="52" t="n">
        <x:v>21650468</x:v>
      </x:c>
      <x:c r="H12" s="53" t="n">
        <x:v>1</x:v>
      </x:c>
      <x:c r="I12" s="52" t="n">
        <x:f>(G12-F12)*H12</x:f>
        <x:v>6820</x:v>
      </x:c>
      <x:c r="J12" s="45" t="str">
        <x:v>正常</x:v>
      </x:c>
      <x:c r="K12" s="42" t="str">
        <x:v>智能电表导出（合成）</x:v>
      </x:c>
      <x:c r="L12" s="42" t="str">
        <x:v>DEMO ONLY / SYNTHETIC</x:v>
      </x:c>
    </x:row>
    <x:row r="13">
      <x:c r="A13" s="45" t="n">
        <x:v>9</x:v>
      </x:c>
      <x:c r="B13" s="42" t="str">
        <x:v>AS-01-P009</x:v>
      </x:c>
      <x:c r="C13" s="48" t="n">
        <x:v>46027</x:v>
      </x:c>
      <x:c r="D13" s="45" t="str">
        <x:v>夜班</x:v>
      </x:c>
      <x:c r="E13" s="42" t="str">
        <x:v>空压站（合成）</x:v>
      </x:c>
      <x:c r="F13" s="52" t="n">
        <x:v>21650468</x:v>
      </x:c>
      <x:c r="G13" s="52" t="n">
        <x:v>21655800</x:v>
      </x:c>
      <x:c r="H13" s="53" t="n">
        <x:v>1</x:v>
      </x:c>
      <x:c r="I13" s="52" t="n">
        <x:f>(G13-F13)*H13</x:f>
        <x:v>5332</x:v>
      </x:c>
      <x:c r="J13" s="45" t="str">
        <x:v>正常</x:v>
      </x:c>
      <x:c r="K13" s="42" t="str">
        <x:v>智能电表导出（合成）</x:v>
      </x:c>
      <x:c r="L13" s="42" t="str">
        <x:v>DEMO ONLY / SYNTHETIC</x:v>
      </x:c>
    </x:row>
    <x:row r="14">
      <x:c r="A14" s="45" t="n">
        <x:v>10</x:v>
      </x:c>
      <x:c r="B14" s="42" t="str">
        <x:v>AS-01-P010</x:v>
      </x:c>
      <x:c r="C14" s="48" t="n">
        <x:v>46034</x:v>
      </x:c>
      <x:c r="D14" s="45" t="str">
        <x:v>白班</x:v>
      </x:c>
      <x:c r="E14" s="42" t="str">
        <x:v>空压站（合成）</x:v>
      </x:c>
      <x:c r="F14" s="52" t="n">
        <x:v>21655800</x:v>
      </x:c>
      <x:c r="G14" s="52" t="n">
        <x:v>21662186</x:v>
      </x:c>
      <x:c r="H14" s="53" t="n">
        <x:v>1</x:v>
      </x:c>
      <x:c r="I14" s="52" t="n">
        <x:f>(G14-F14)*H14</x:f>
        <x:v>6386</x:v>
      </x:c>
      <x:c r="J14" s="45" t="str">
        <x:v>正常</x:v>
      </x:c>
      <x:c r="K14" s="42" t="str">
        <x:v>智能电表导出（合成）</x:v>
      </x:c>
      <x:c r="L14" s="42" t="str">
        <x:v>DEMO ONLY / SYNTHETIC</x:v>
      </x:c>
    </x:row>
    <x:row r="15">
      <x:c r="A15" s="45" t="n">
        <x:v>11</x:v>
      </x:c>
      <x:c r="B15" s="42" t="str">
        <x:v>AS-01-P011</x:v>
      </x:c>
      <x:c r="C15" s="48" t="n">
        <x:v>46041</x:v>
      </x:c>
      <x:c r="D15" s="45" t="str">
        <x:v>中班</x:v>
      </x:c>
      <x:c r="E15" s="42" t="str">
        <x:v>空压站（合成）</x:v>
      </x:c>
      <x:c r="F15" s="52" t="n">
        <x:v>21662186</x:v>
      </x:c>
      <x:c r="G15" s="52" t="n">
        <x:v>21669626</x:v>
      </x:c>
      <x:c r="H15" s="53" t="n">
        <x:v>1</x:v>
      </x:c>
      <x:c r="I15" s="52" t="n">
        <x:f>(G15-F15)*H15</x:f>
        <x:v>7440</x:v>
      </x:c>
      <x:c r="J15" s="45" t="str">
        <x:v>正常</x:v>
      </x:c>
      <x:c r="K15" s="42" t="str">
        <x:v>智能电表导出（合成）</x:v>
      </x:c>
      <x:c r="L15" s="42" t="str">
        <x:v>DEMO ONLY / SYNTHETIC</x:v>
      </x:c>
    </x:row>
    <x:row r="16">
      <x:c r="A16" s="45" t="n">
        <x:v>12</x:v>
      </x:c>
      <x:c r="B16" s="42" t="str">
        <x:v>AS-01-P012</x:v>
      </x:c>
      <x:c r="C16" s="48" t="n">
        <x:v>46048</x:v>
      </x:c>
      <x:c r="D16" s="45" t="str">
        <x:v>夜班</x:v>
      </x:c>
      <x:c r="E16" s="42" t="str">
        <x:v>空压站（合成）</x:v>
      </x:c>
      <x:c r="F16" s="52" t="n">
        <x:v>21669626</x:v>
      </x:c>
      <x:c r="G16" s="52" t="n">
        <x:v>21675578</x:v>
      </x:c>
      <x:c r="H16" s="53" t="n">
        <x:v>1</x:v>
      </x:c>
      <x:c r="I16" s="52" t="n">
        <x:f>(G16-F16)*H16</x:f>
        <x:v>5952</x:v>
      </x:c>
      <x:c r="J16" s="45" t="str">
        <x:v>正常</x:v>
      </x:c>
      <x:c r="K16" s="42" t="str">
        <x:v>智能电表导出（合成）</x:v>
      </x:c>
      <x:c r="L16" s="42" t="str">
        <x:v>DEMO ONLY / SYNTHETIC</x:v>
      </x:c>
    </x:row>
    <x:row r="17">
      <x:c r="A17" s="45" t="n">
        <x:v>13</x:v>
      </x:c>
      <x:c r="B17" s="42" t="str">
        <x:v>AS-01-P013</x:v>
      </x:c>
      <x:c r="C17" s="48" t="n">
        <x:v>46024</x:v>
      </x:c>
      <x:c r="D17" s="45" t="str">
        <x:v>白班</x:v>
      </x:c>
      <x:c r="E17" s="42" t="str">
        <x:v>空压站（合成）</x:v>
      </x:c>
      <x:c r="F17" s="52" t="n">
        <x:v>21675578</x:v>
      </x:c>
      <x:c r="G17" s="52" t="n">
        <x:v>21682584</x:v>
      </x:c>
      <x:c r="H17" s="53" t="n">
        <x:v>1</x:v>
      </x:c>
      <x:c r="I17" s="52" t="n">
        <x:f>(G17-F17)*H17</x:f>
        <x:v>7006</x:v>
      </x:c>
      <x:c r="J17" s="45" t="str">
        <x:v>正常</x:v>
      </x:c>
      <x:c r="K17" s="42" t="str">
        <x:v>智能电表导出（合成）</x:v>
      </x:c>
      <x:c r="L17" s="42" t="str">
        <x:v>DEMO ONLY / SYNTHETIC</x:v>
      </x:c>
    </x:row>
    <x:row r="18">
      <x:c r="A18" s="45" t="n">
        <x:v>14</x:v>
      </x:c>
      <x:c r="B18" s="42" t="str">
        <x:v>AS-01-P014</x:v>
      </x:c>
      <x:c r="C18" s="48" t="n">
        <x:v>46031</x:v>
      </x:c>
      <x:c r="D18" s="45" t="str">
        <x:v>中班</x:v>
      </x:c>
      <x:c r="E18" s="42" t="str">
        <x:v>空压站（合成）</x:v>
      </x:c>
      <x:c r="F18" s="52" t="n">
        <x:v>21682584</x:v>
      </x:c>
      <x:c r="G18" s="52" t="n">
        <x:v>21688102</x:v>
      </x:c>
      <x:c r="H18" s="53" t="n">
        <x:v>1</x:v>
      </x:c>
      <x:c r="I18" s="52" t="n">
        <x:f>(G18-F18)*H18</x:f>
        <x:v>5518</x:v>
      </x:c>
      <x:c r="J18" s="45" t="str">
        <x:v>正常</x:v>
      </x:c>
      <x:c r="K18" s="42" t="str">
        <x:v>智能电表导出（合成）</x:v>
      </x:c>
      <x:c r="L18" s="42" t="str">
        <x:v>DEMO ONLY / SYNTHETIC</x:v>
      </x:c>
    </x:row>
    <x:row r="19">
      <x:c r="A19" s="45" t="n">
        <x:v>15</x:v>
      </x:c>
      <x:c r="B19" s="42" t="str">
        <x:v>AS-01-P015</x:v>
      </x:c>
      <x:c r="C19" s="48" t="n">
        <x:v>46038</x:v>
      </x:c>
      <x:c r="D19" s="45" t="str">
        <x:v>夜班</x:v>
      </x:c>
      <x:c r="E19" s="42" t="str">
        <x:v>空压站（合成）</x:v>
      </x:c>
      <x:c r="F19" s="52" t="n">
        <x:v>21688102</x:v>
      </x:c>
      <x:c r="G19" s="52" t="n">
        <x:v>21694674</x:v>
      </x:c>
      <x:c r="H19" s="53" t="n">
        <x:v>1</x:v>
      </x:c>
      <x:c r="I19" s="52" t="n">
        <x:f>(G19-F19)*H19</x:f>
        <x:v>6572</x:v>
      </x:c>
      <x:c r="J19" s="45" t="str">
        <x:v>正常</x:v>
      </x:c>
      <x:c r="K19" s="42" t="str">
        <x:v>智能电表导出（合成）</x:v>
      </x:c>
      <x:c r="L19" s="42" t="str">
        <x:v>DEMO ONLY / SYNTHETIC</x:v>
      </x:c>
    </x:row>
    <x:row r="20">
      <x:c r="A20" s="45" t="n">
        <x:v>16</x:v>
      </x:c>
      <x:c r="B20" s="42" t="str">
        <x:v>AS-01-P016</x:v>
      </x:c>
      <x:c r="C20" s="48" t="n">
        <x:v>46045</x:v>
      </x:c>
      <x:c r="D20" s="45" t="str">
        <x:v>白班</x:v>
      </x:c>
      <x:c r="E20" s="42" t="str">
        <x:v>空压站（合成）</x:v>
      </x:c>
      <x:c r="F20" s="52" t="n">
        <x:v>21694674</x:v>
      </x:c>
      <x:c r="G20" s="52" t="n">
        <x:v>21699758</x:v>
      </x:c>
      <x:c r="H20" s="53" t="n">
        <x:v>1</x:v>
      </x:c>
      <x:c r="I20" s="52" t="n">
        <x:f>(G20-F20)*H20</x:f>
        <x:v>5084</x:v>
      </x:c>
      <x:c r="J20" s="45" t="str">
        <x:v>正常</x:v>
      </x:c>
      <x:c r="K20" s="42" t="str">
        <x:v>智能电表导出（合成）</x:v>
      </x:c>
      <x:c r="L20" s="42" t="str">
        <x:v>DEMO ONLY / SYNTHETIC</x:v>
      </x:c>
    </x:row>
    <x:row r="21">
      <x:c r="A21" s="45" t="n">
        <x:v>17</x:v>
      </x:c>
      <x:c r="B21" s="42" t="str">
        <x:v>AS-01-P017</x:v>
      </x:c>
      <x:c r="C21" s="48" t="n">
        <x:v>46052</x:v>
      </x:c>
      <x:c r="D21" s="45" t="str">
        <x:v>中班</x:v>
      </x:c>
      <x:c r="E21" s="42" t="str">
        <x:v>空压站（合成）</x:v>
      </x:c>
      <x:c r="F21" s="52" t="n">
        <x:v>21699758</x:v>
      </x:c>
      <x:c r="G21" s="52" t="n">
        <x:v>21705896</x:v>
      </x:c>
      <x:c r="H21" s="53" t="n">
        <x:v>1</x:v>
      </x:c>
      <x:c r="I21" s="52" t="n">
        <x:f>(G21-F21)*H21</x:f>
        <x:v>6138</x:v>
      </x:c>
      <x:c r="J21" s="45" t="str">
        <x:v>正常</x:v>
      </x:c>
      <x:c r="K21" s="42" t="str">
        <x:v>智能电表导出（合成）</x:v>
      </x:c>
      <x:c r="L21" s="42" t="str">
        <x:v>DEMO ONLY / SYNTHETIC</x:v>
      </x:c>
    </x:row>
    <x:row r="22">
      <x:c r="A22" s="45" t="n">
        <x:v>18</x:v>
      </x:c>
      <x:c r="B22" s="42" t="str">
        <x:v>AS-01-P018</x:v>
      </x:c>
      <x:c r="C22" s="48" t="n">
        <x:v>46028</x:v>
      </x:c>
      <x:c r="D22" s="45" t="str">
        <x:v>夜班</x:v>
      </x:c>
      <x:c r="E22" s="42" t="str">
        <x:v>空压站（合成）</x:v>
      </x:c>
      <x:c r="F22" s="52" t="n">
        <x:v>21705896</x:v>
      </x:c>
      <x:c r="G22" s="52" t="n">
        <x:v>21713088</x:v>
      </x:c>
      <x:c r="H22" s="53" t="n">
        <x:v>1</x:v>
      </x:c>
      <x:c r="I22" s="52" t="n">
        <x:f>(G22-F22)*H22</x:f>
        <x:v>7192</x:v>
      </x:c>
      <x:c r="J22" s="45" t="str">
        <x:v>复核通过</x:v>
      </x:c>
      <x:c r="K22" s="42" t="str">
        <x:v>智能电表导出（合成）</x:v>
      </x:c>
      <x:c r="L22" s="42" t="str">
        <x:v>DEMO ONLY / SYNTHETIC</x:v>
      </x:c>
    </x:row>
    <x:row r="23">
      <x:c r="A23" s="45" t="n">
        <x:v>19</x:v>
      </x:c>
      <x:c r="B23" s="42" t="str">
        <x:v>AS-01-P019</x:v>
      </x:c>
      <x:c r="C23" s="48" t="n">
        <x:v>46035</x:v>
      </x:c>
      <x:c r="D23" s="45" t="str">
        <x:v>白班</x:v>
      </x:c>
      <x:c r="E23" s="42" t="str">
        <x:v>空压站（合成）</x:v>
      </x:c>
      <x:c r="F23" s="52" t="n">
        <x:v>21713088</x:v>
      </x:c>
      <x:c r="G23" s="52" t="n">
        <x:v>21718792</x:v>
      </x:c>
      <x:c r="H23" s="53" t="n">
        <x:v>1</x:v>
      </x:c>
      <x:c r="I23" s="52" t="n">
        <x:f>(G23-F23)*H23</x:f>
        <x:v>5704</x:v>
      </x:c>
      <x:c r="J23" s="45" t="str">
        <x:v>正常</x:v>
      </x:c>
      <x:c r="K23" s="42" t="str">
        <x:v>智能电表导出（合成）</x:v>
      </x:c>
      <x:c r="L23" s="42" t="str">
        <x:v>DEMO ONLY / SYNTHETIC</x:v>
      </x:c>
    </x:row>
    <x:row r="24">
      <x:c r="A24" s="45" t="n">
        <x:v>20</x:v>
      </x:c>
      <x:c r="B24" s="42" t="str">
        <x:v>AS-01-P020</x:v>
      </x:c>
      <x:c r="C24" s="48" t="n">
        <x:v>46042</x:v>
      </x:c>
      <x:c r="D24" s="45" t="str">
        <x:v>中班</x:v>
      </x:c>
      <x:c r="E24" s="42" t="str">
        <x:v>空压站（合成）</x:v>
      </x:c>
      <x:c r="F24" s="52" t="n">
        <x:v>21718792</x:v>
      </x:c>
      <x:c r="G24" s="52" t="n">
        <x:v>21725550</x:v>
      </x:c>
      <x:c r="H24" s="53" t="n">
        <x:v>1</x:v>
      </x:c>
      <x:c r="I24" s="52" t="n">
        <x:f>(G24-F24)*H24</x:f>
        <x:v>6758</x:v>
      </x:c>
      <x:c r="J24" s="45" t="str">
        <x:v>正常</x:v>
      </x:c>
      <x:c r="K24" s="42" t="str">
        <x:v>智能电表导出（合成）</x:v>
      </x:c>
      <x:c r="L24" s="42" t="str">
        <x:v>DEMO ONLY / SYNTHETIC</x:v>
      </x:c>
    </x:row>
    <x:row r="25">
      <x:c r="A25" s="45" t="n">
        <x:v>21</x:v>
      </x:c>
      <x:c r="B25" s="42" t="str">
        <x:v>AS-01-P021</x:v>
      </x:c>
      <x:c r="C25" s="48" t="n">
        <x:v>46049</x:v>
      </x:c>
      <x:c r="D25" s="45" t="str">
        <x:v>夜班</x:v>
      </x:c>
      <x:c r="E25" s="42" t="str">
        <x:v>空压站（合成）</x:v>
      </x:c>
      <x:c r="F25" s="52" t="n">
        <x:v>21725550</x:v>
      </x:c>
      <x:c r="G25" s="52" t="n">
        <x:v>21730820</x:v>
      </x:c>
      <x:c r="H25" s="53" t="n">
        <x:v>1</x:v>
      </x:c>
      <x:c r="I25" s="52" t="n">
        <x:f>(G25-F25)*H25</x:f>
        <x:v>5270</x:v>
      </x:c>
      <x:c r="J25" s="45" t="str">
        <x:v>正常</x:v>
      </x:c>
      <x:c r="K25" s="42" t="str">
        <x:v>智能电表导出（合成）</x:v>
      </x:c>
      <x:c r="L25" s="42" t="str">
        <x:v>DEMO ONLY / SYNTHETIC</x:v>
      </x:c>
    </x:row>
    <x:row r="26">
      <x:c r="A26" s="45" t="n">
        <x:v>22</x:v>
      </x:c>
      <x:c r="B26" s="42" t="str">
        <x:v>AS-01-P022</x:v>
      </x:c>
      <x:c r="C26" s="48" t="n">
        <x:v>46025</x:v>
      </x:c>
      <x:c r="D26" s="45" t="str">
        <x:v>白班</x:v>
      </x:c>
      <x:c r="E26" s="42" t="str">
        <x:v>空压站（合成）</x:v>
      </x:c>
      <x:c r="F26" s="52" t="n">
        <x:v>21730820</x:v>
      </x:c>
      <x:c r="G26" s="52" t="n">
        <x:v>21737144</x:v>
      </x:c>
      <x:c r="H26" s="53" t="n">
        <x:v>1</x:v>
      </x:c>
      <x:c r="I26" s="52" t="n">
        <x:f>(G26-F26)*H26</x:f>
        <x:v>6324</x:v>
      </x:c>
      <x:c r="J26" s="45" t="str">
        <x:v>正常</x:v>
      </x:c>
      <x:c r="K26" s="42" t="str">
        <x:v>智能电表导出（合成）</x:v>
      </x:c>
      <x:c r="L26" s="42" t="str">
        <x:v>DEMO ONLY / SYNTHETIC</x:v>
      </x:c>
    </x:row>
    <x:row r="27">
      <x:c r="A27" s="45" t="n">
        <x:v>23</x:v>
      </x:c>
      <x:c r="B27" s="42" t="str">
        <x:v>AS-01-P023</x:v>
      </x:c>
      <x:c r="C27" s="48" t="n">
        <x:v>46032</x:v>
      </x:c>
      <x:c r="D27" s="45" t="str">
        <x:v>中班</x:v>
      </x:c>
      <x:c r="E27" s="42" t="str">
        <x:v>空压站（合成）</x:v>
      </x:c>
      <x:c r="F27" s="52" t="n">
        <x:v>21737144</x:v>
      </x:c>
      <x:c r="G27" s="52" t="n">
        <x:v>21744522</x:v>
      </x:c>
      <x:c r="H27" s="53" t="n">
        <x:v>1</x:v>
      </x:c>
      <x:c r="I27" s="52" t="n">
        <x:f>(G27-F27)*H27</x:f>
        <x:v>7378</x:v>
      </x:c>
      <x:c r="J27" s="45" t="str">
        <x:v>正常</x:v>
      </x:c>
      <x:c r="K27" s="42" t="str">
        <x:v>智能电表导出（合成）</x:v>
      </x:c>
      <x:c r="L27" s="42" t="str">
        <x:v>DEMO ONLY / SYNTHETIC</x:v>
      </x:c>
    </x:row>
    <x:row r="28">
      <x:c r="A28" s="45" t="n">
        <x:v>24</x:v>
      </x:c>
      <x:c r="B28" s="42" t="str">
        <x:v>AS-01-P024</x:v>
      </x:c>
      <x:c r="C28" s="48" t="n">
        <x:v>46039</x:v>
      </x:c>
      <x:c r="D28" s="45" t="str">
        <x:v>夜班</x:v>
      </x:c>
      <x:c r="E28" s="42" t="str">
        <x:v>空压站（合成）</x:v>
      </x:c>
      <x:c r="F28" s="52" t="n">
        <x:v>21744522</x:v>
      </x:c>
      <x:c r="G28" s="52" t="n">
        <x:v>21750412</x:v>
      </x:c>
      <x:c r="H28" s="53" t="n">
        <x:v>1</x:v>
      </x:c>
      <x:c r="I28" s="52" t="n">
        <x:f>(G28-F28)*H28</x:f>
        <x:v>5890</x:v>
      </x:c>
      <x:c r="J28" s="45" t="str">
        <x:v>正常</x:v>
      </x:c>
      <x:c r="K28" s="42" t="str">
        <x:v>智能电表导出（合成）</x:v>
      </x:c>
      <x:c r="L28" s="42" t="str">
        <x:v>DEMO ONLY / SYNTHETIC</x:v>
      </x:c>
    </x:row>
    <x:row r="29">
      <x:c r="A29" s="45" t="n">
        <x:v>25</x:v>
      </x:c>
      <x:c r="B29" s="42" t="str">
        <x:v>AS-01-P025</x:v>
      </x:c>
      <x:c r="C29" s="48" t="n">
        <x:v>46046</x:v>
      </x:c>
      <x:c r="D29" s="45" t="str">
        <x:v>白班</x:v>
      </x:c>
      <x:c r="E29" s="42" t="str">
        <x:v>空压站（合成）</x:v>
      </x:c>
      <x:c r="F29" s="52" t="n">
        <x:v>21750412</x:v>
      </x:c>
      <x:c r="G29" s="52" t="n">
        <x:v>21757356</x:v>
      </x:c>
      <x:c r="H29" s="53" t="n">
        <x:v>1</x:v>
      </x:c>
      <x:c r="I29" s="52" t="n">
        <x:f>(G29-F29)*H29</x:f>
        <x:v>6944</x:v>
      </x:c>
      <x:c r="J29" s="45" t="str">
        <x:v>正常</x:v>
      </x:c>
      <x:c r="K29" s="42" t="str">
        <x:v>智能电表导出（合成）</x:v>
      </x:c>
      <x:c r="L29" s="42" t="str">
        <x:v>DEMO ONLY / SYNTHETIC</x:v>
      </x:c>
    </x:row>
    <x:row r="30">
      <x:c r="A30" s="45" t="n">
        <x:v>26</x:v>
      </x:c>
      <x:c r="B30" s="42" t="str">
        <x:v>AS-01-P026</x:v>
      </x:c>
      <x:c r="C30" s="48" t="n">
        <x:v>46053</x:v>
      </x:c>
      <x:c r="D30" s="45" t="str">
        <x:v>中班</x:v>
      </x:c>
      <x:c r="E30" s="42" t="str">
        <x:v>空压站（合成）</x:v>
      </x:c>
      <x:c r="F30" s="52" t="n">
        <x:v>21757356</x:v>
      </x:c>
      <x:c r="G30" s="52" t="n">
        <x:v>21762812</x:v>
      </x:c>
      <x:c r="H30" s="53" t="n">
        <x:v>1</x:v>
      </x:c>
      <x:c r="I30" s="52" t="n">
        <x:f>(G30-F30)*H30</x:f>
        <x:v>5456</x:v>
      </x:c>
      <x:c r="J30" s="45" t="str">
        <x:v>正常</x:v>
      </x:c>
      <x:c r="K30" s="42" t="str">
        <x:v>智能电表导出（合成）</x:v>
      </x:c>
      <x:c r="L30" s="42" t="str">
        <x:v>DEMO ONLY / SYNTHETIC</x:v>
      </x:c>
    </x:row>
    <x:row r="31">
      <x:c r="A31" s="45" t="n">
        <x:v>27</x:v>
      </x:c>
      <x:c r="B31" s="42" t="str">
        <x:v>AS-01-P027</x:v>
      </x:c>
      <x:c r="C31" s="48" t="n">
        <x:v>46029</x:v>
      </x:c>
      <x:c r="D31" s="45" t="str">
        <x:v>夜班</x:v>
      </x:c>
      <x:c r="E31" s="42" t="str">
        <x:v>空压站（合成）</x:v>
      </x:c>
      <x:c r="F31" s="52" t="n">
        <x:v>21762812</x:v>
      </x:c>
      <x:c r="G31" s="52" t="n">
        <x:v>21769322</x:v>
      </x:c>
      <x:c r="H31" s="53" t="n">
        <x:v>1</x:v>
      </x:c>
      <x:c r="I31" s="52" t="n">
        <x:f>(G31-F31)*H31</x:f>
        <x:v>6510</x:v>
      </x:c>
      <x:c r="J31" s="45" t="str">
        <x:v>正常</x:v>
      </x:c>
      <x:c r="K31" s="42" t="str">
        <x:v>智能电表导出（合成）</x:v>
      </x:c>
      <x:c r="L31" s="42" t="str">
        <x:v>DEMO ONLY / SYNTHETIC</x:v>
      </x:c>
    </x:row>
    <x:row r="32">
      <x:c r="A32" s="45" t="n">
        <x:v>28</x:v>
      </x:c>
      <x:c r="B32" s="42" t="str">
        <x:v>AS-01-P028</x:v>
      </x:c>
      <x:c r="C32" s="48" t="n">
        <x:v>46036</x:v>
      </x:c>
      <x:c r="D32" s="45" t="str">
        <x:v>白班</x:v>
      </x:c>
      <x:c r="E32" s="42" t="str">
        <x:v>空压站（合成）</x:v>
      </x:c>
      <x:c r="F32" s="52" t="n">
        <x:v>21769322</x:v>
      </x:c>
      <x:c r="G32" s="52" t="n">
        <x:v>21774344</x:v>
      </x:c>
      <x:c r="H32" s="53" t="n">
        <x:v>1</x:v>
      </x:c>
      <x:c r="I32" s="52" t="n">
        <x:f>(G32-F32)*H32</x:f>
        <x:v>5022</x:v>
      </x:c>
      <x:c r="J32" s="45" t="str">
        <x:v>正常</x:v>
      </x:c>
      <x:c r="K32" s="42" t="str">
        <x:v>智能电表导出（合成）</x:v>
      </x:c>
      <x:c r="L32" s="42" t="str">
        <x:v>DEMO ONLY / SYNTHETIC</x:v>
      </x:c>
    </x:row>
    <x:row r="33">
      <x:c r="A33" s="45" t="n">
        <x:v>29</x:v>
      </x:c>
      <x:c r="B33" s="42" t="str">
        <x:v>AS-01-P029</x:v>
      </x:c>
      <x:c r="C33" s="48" t="n">
        <x:v>46043</x:v>
      </x:c>
      <x:c r="D33" s="45" t="str">
        <x:v>中班</x:v>
      </x:c>
      <x:c r="E33" s="42" t="str">
        <x:v>空压站（合成）</x:v>
      </x:c>
      <x:c r="F33" s="52" t="n">
        <x:v>21774344</x:v>
      </x:c>
      <x:c r="G33" s="52" t="n">
        <x:v>21780420</x:v>
      </x:c>
      <x:c r="H33" s="53" t="n">
        <x:v>1</x:v>
      </x:c>
      <x:c r="I33" s="52" t="n">
        <x:f>(G33-F33)*H33</x:f>
        <x:v>6076</x:v>
      </x:c>
      <x:c r="J33" s="45" t="str">
        <x:v>正常</x:v>
      </x:c>
      <x:c r="K33" s="42" t="str">
        <x:v>智能电表导出（合成）</x:v>
      </x:c>
      <x:c r="L33" s="42" t="str">
        <x:v>DEMO ONLY / SYNTHETIC</x:v>
      </x:c>
    </x:row>
    <x:row r="34">
      <x:c r="A34" s="45" t="n">
        <x:v>30</x:v>
      </x:c>
      <x:c r="B34" s="42" t="str">
        <x:v>AS-01-P030</x:v>
      </x:c>
      <x:c r="C34" s="48" t="n">
        <x:v>46050</x:v>
      </x:c>
      <x:c r="D34" s="45" t="str">
        <x:v>夜班</x:v>
      </x:c>
      <x:c r="E34" s="42" t="str">
        <x:v>空压站（合成）</x:v>
      </x:c>
      <x:c r="F34" s="52" t="n">
        <x:v>21780420</x:v>
      </x:c>
      <x:c r="G34" s="52" t="n">
        <x:v>21787550</x:v>
      </x:c>
      <x:c r="H34" s="53" t="n">
        <x:v>1</x:v>
      </x:c>
      <x:c r="I34" s="52" t="n">
        <x:f>(G34-F34)*H34</x:f>
        <x:v>7130</x:v>
      </x:c>
      <x:c r="J34" s="45" t="str">
        <x:v>正常</x:v>
      </x:c>
      <x:c r="K34" s="42" t="str">
        <x:v>智能电表导出（合成）</x:v>
      </x:c>
      <x:c r="L34" s="42" t="str">
        <x:v>DEMO ONLY / SYNTHETIC</x:v>
      </x:c>
    </x:row>
    <x:row r="35">
      <x:c r="A35" s="45" t="n">
        <x:v>31</x:v>
      </x:c>
      <x:c r="B35" s="42" t="str">
        <x:v>AS-01-P031</x:v>
      </x:c>
      <x:c r="C35" s="48" t="n">
        <x:v>46026</x:v>
      </x:c>
      <x:c r="D35" s="45" t="str">
        <x:v>白班</x:v>
      </x:c>
      <x:c r="E35" s="42" t="str">
        <x:v>空压站（合成）</x:v>
      </x:c>
      <x:c r="F35" s="52" t="n">
        <x:v>21787550</x:v>
      </x:c>
      <x:c r="G35" s="52" t="n">
        <x:v>21793192</x:v>
      </x:c>
      <x:c r="H35" s="53" t="n">
        <x:v>1</x:v>
      </x:c>
      <x:c r="I35" s="52" t="n">
        <x:f>(G35-F35)*H35</x:f>
        <x:v>5642</x:v>
      </x:c>
      <x:c r="J35" s="45" t="str">
        <x:v>正常</x:v>
      </x:c>
      <x:c r="K35" s="42" t="str">
        <x:v>智能电表导出（合成）</x:v>
      </x:c>
      <x:c r="L35" s="42" t="str">
        <x:v>DEMO ONLY / SYNTHETIC</x:v>
      </x:c>
    </x:row>
    <x:row r="36">
      <x:c r="A36" s="45" t="n">
        <x:v>32</x:v>
      </x:c>
      <x:c r="B36" s="42" t="str">
        <x:v>AS-01-P032</x:v>
      </x:c>
      <x:c r="C36" s="48" t="n">
        <x:v>46033</x:v>
      </x:c>
      <x:c r="D36" s="45" t="str">
        <x:v>中班</x:v>
      </x:c>
      <x:c r="E36" s="42" t="str">
        <x:v>空压站（合成）</x:v>
      </x:c>
      <x:c r="F36" s="52" t="n">
        <x:v>21793192</x:v>
      </x:c>
      <x:c r="G36" s="52" t="n">
        <x:v>21799888</x:v>
      </x:c>
      <x:c r="H36" s="53" t="n">
        <x:v>1</x:v>
      </x:c>
      <x:c r="I36" s="52" t="n">
        <x:f>(G36-F36)*H36</x:f>
        <x:v>6696</x:v>
      </x:c>
      <x:c r="J36" s="45" t="str">
        <x:v>正常</x:v>
      </x:c>
      <x:c r="K36" s="42" t="str">
        <x:v>智能电表导出（合成）</x:v>
      </x:c>
      <x:c r="L36" s="42" t="str">
        <x:v>DEMO ONLY / SYNTHETIC</x:v>
      </x:c>
    </x:row>
    <x:row r="37">
      <x:c r="A37" s="45" t="n">
        <x:v>33</x:v>
      </x:c>
      <x:c r="B37" s="42" t="str">
        <x:v>AS-01-P033</x:v>
      </x:c>
      <x:c r="C37" s="48" t="n">
        <x:v>46040</x:v>
      </x:c>
      <x:c r="D37" s="45" t="str">
        <x:v>夜班</x:v>
      </x:c>
      <x:c r="E37" s="42" t="str">
        <x:v>空压站（合成）</x:v>
      </x:c>
      <x:c r="F37" s="52" t="n">
        <x:v>21799888</x:v>
      </x:c>
      <x:c r="G37" s="52" t="n">
        <x:v>21805096</x:v>
      </x:c>
      <x:c r="H37" s="53" t="n">
        <x:v>1</x:v>
      </x:c>
      <x:c r="I37" s="52" t="n">
        <x:f>(G37-F37)*H37</x:f>
        <x:v>5208</x:v>
      </x:c>
      <x:c r="J37" s="45" t="str">
        <x:v>正常</x:v>
      </x:c>
      <x:c r="K37" s="42" t="str">
        <x:v>智能电表导出（合成）</x:v>
      </x:c>
      <x:c r="L37" s="42" t="str">
        <x:v>DEMO ONLY / SYNTHETIC</x:v>
      </x:c>
    </x:row>
    <x:row r="38">
      <x:c r="A38" s="45" t="n">
        <x:v>34</x:v>
      </x:c>
      <x:c r="B38" s="42" t="str">
        <x:v>AS-01-P034</x:v>
      </x:c>
      <x:c r="C38" s="48" t="n">
        <x:v>46047</x:v>
      </x:c>
      <x:c r="D38" s="45" t="str">
        <x:v>白班</x:v>
      </x:c>
      <x:c r="E38" s="42" t="str">
        <x:v>空压站（合成）</x:v>
      </x:c>
      <x:c r="F38" s="52" t="n">
        <x:v>21805096</x:v>
      </x:c>
      <x:c r="G38" s="52" t="n">
        <x:v>21811358</x:v>
      </x:c>
      <x:c r="H38" s="53" t="n">
        <x:v>1</x:v>
      </x:c>
      <x:c r="I38" s="52" t="n">
        <x:f>(G38-F38)*H38</x:f>
        <x:v>6262</x:v>
      </x:c>
      <x:c r="J38" s="45" t="str">
        <x:v>正常</x:v>
      </x:c>
      <x:c r="K38" s="42" t="str">
        <x:v>智能电表导出（合成）</x:v>
      </x:c>
      <x:c r="L38" s="42" t="str">
        <x:v>DEMO ONLY / SYNTHETIC</x:v>
      </x:c>
    </x:row>
    <x:row r="39">
      <x:c r="A39" s="45" t="n">
        <x:v>35</x:v>
      </x:c>
      <x:c r="B39" s="42" t="str">
        <x:v>AS-01-P035</x:v>
      </x:c>
      <x:c r="C39" s="48" t="n">
        <x:v>46023</x:v>
      </x:c>
      <x:c r="D39" s="45" t="str">
        <x:v>中班</x:v>
      </x:c>
      <x:c r="E39" s="42" t="str">
        <x:v>空压站（合成）</x:v>
      </x:c>
      <x:c r="F39" s="52" t="n">
        <x:v>21811358</x:v>
      </x:c>
      <x:c r="G39" s="52" t="n">
        <x:v>21818674</x:v>
      </x:c>
      <x:c r="H39" s="53" t="n">
        <x:v>1</x:v>
      </x:c>
      <x:c r="I39" s="52" t="n">
        <x:f>(G39-F39)*H39</x:f>
        <x:v>7316</x:v>
      </x:c>
      <x:c r="J39" s="45" t="str">
        <x:v>复核通过</x:v>
      </x:c>
      <x:c r="K39" s="42" t="str">
        <x:v>智能电表导出（合成）</x:v>
      </x:c>
      <x:c r="L39" s="42" t="str">
        <x:v>DEMO ONLY / SYNTHETIC</x:v>
      </x:c>
    </x:row>
    <x:row r="40">
      <x:c r="A40" s="45" t="n">
        <x:v>36</x:v>
      </x:c>
      <x:c r="B40" s="42" t="str">
        <x:v>AS-01-P036</x:v>
      </x:c>
      <x:c r="C40" s="48" t="n">
        <x:v>46030</x:v>
      </x:c>
      <x:c r="D40" s="45" t="str">
        <x:v>夜班</x:v>
      </x:c>
      <x:c r="E40" s="42" t="str">
        <x:v>空压站（合成）</x:v>
      </x:c>
      <x:c r="F40" s="52" t="n">
        <x:v>21818674</x:v>
      </x:c>
      <x:c r="G40" s="52" t="n">
        <x:v>21824502</x:v>
      </x:c>
      <x:c r="H40" s="53" t="n">
        <x:v>1</x:v>
      </x:c>
      <x:c r="I40" s="52" t="n">
        <x:f>(G40-F40)*H40</x:f>
        <x:v>5828</x:v>
      </x:c>
      <x:c r="J40" s="45" t="str">
        <x:v>正常</x:v>
      </x:c>
      <x:c r="K40" s="42" t="str">
        <x:v>智能电表导出（合成）</x:v>
      </x:c>
      <x:c r="L40" s="42" t="str">
        <x:v>DEMO ONLY / SYNTHETIC</x:v>
      </x:c>
    </x:row>
    <x:row r="41">
      <x:c r="A41" s="45" t="n">
        <x:v>37</x:v>
      </x:c>
      <x:c r="B41" s="42" t="str">
        <x:v>AS-01-P037</x:v>
      </x:c>
      <x:c r="C41" s="48" t="n">
        <x:v>46037</x:v>
      </x:c>
      <x:c r="D41" s="45" t="str">
        <x:v>白班</x:v>
      </x:c>
      <x:c r="E41" s="42" t="str">
        <x:v>空压站（合成）</x:v>
      </x:c>
      <x:c r="F41" s="52" t="n">
        <x:v>21824502</x:v>
      </x:c>
      <x:c r="G41" s="52" t="n">
        <x:v>21831384</x:v>
      </x:c>
      <x:c r="H41" s="53" t="n">
        <x:v>1</x:v>
      </x:c>
      <x:c r="I41" s="52" t="n">
        <x:f>(G41-F41)*H41</x:f>
        <x:v>6882</x:v>
      </x:c>
      <x:c r="J41" s="45" t="str">
        <x:v>正常</x:v>
      </x:c>
      <x:c r="K41" s="42" t="str">
        <x:v>智能电表导出（合成）</x:v>
      </x:c>
      <x:c r="L41" s="42" t="str">
        <x:v>DEMO ONLY / SYNTHETIC</x:v>
      </x:c>
    </x:row>
    <x:row r="42">
      <x:c r="A42" s="45" t="n">
        <x:v>38</x:v>
      </x:c>
      <x:c r="B42" s="42" t="str">
        <x:v>AS-01-P038</x:v>
      </x:c>
      <x:c r="C42" s="48" t="n">
        <x:v>46044</x:v>
      </x:c>
      <x:c r="D42" s="45" t="str">
        <x:v>中班</x:v>
      </x:c>
      <x:c r="E42" s="42" t="str">
        <x:v>空压站（合成）</x:v>
      </x:c>
      <x:c r="F42" s="52" t="n">
        <x:v>21831384</x:v>
      </x:c>
      <x:c r="G42" s="52" t="n">
        <x:v>21836778</x:v>
      </x:c>
      <x:c r="H42" s="53" t="n">
        <x:v>1</x:v>
      </x:c>
      <x:c r="I42" s="52" t="n">
        <x:f>(G42-F42)*H42</x:f>
        <x:v>5394</x:v>
      </x:c>
      <x:c r="J42" s="45" t="str">
        <x:v>正常</x:v>
      </x:c>
      <x:c r="K42" s="42" t="str">
        <x:v>智能电表导出（合成）</x:v>
      </x:c>
      <x:c r="L42" s="42" t="str">
        <x:v>DEMO ONLY / SYNTHETIC</x:v>
      </x:c>
    </x:row>
    <x:row r="43">
      <x:c r="A43" s="45" t="n">
        <x:v>39</x:v>
      </x:c>
      <x:c r="B43" s="42" t="str">
        <x:v>AS-01-P039</x:v>
      </x:c>
      <x:c r="C43" s="48" t="n">
        <x:v>46051</x:v>
      </x:c>
      <x:c r="D43" s="45" t="str">
        <x:v>夜班</x:v>
      </x:c>
      <x:c r="E43" s="42" t="str">
        <x:v>空压站（合成）</x:v>
      </x:c>
      <x:c r="F43" s="52" t="n">
        <x:v>21836778</x:v>
      </x:c>
      <x:c r="G43" s="52" t="n">
        <x:v>21843226</x:v>
      </x:c>
      <x:c r="H43" s="53" t="n">
        <x:v>1</x:v>
      </x:c>
      <x:c r="I43" s="52" t="n">
        <x:f>(G43-F43)*H43</x:f>
        <x:v>6448</x:v>
      </x:c>
      <x:c r="J43" s="45" t="str">
        <x:v>正常</x:v>
      </x:c>
      <x:c r="K43" s="42" t="str">
        <x:v>智能电表导出（合成）</x:v>
      </x:c>
      <x:c r="L43" s="42" t="str">
        <x:v>DEMO ONLY / SYNTHETIC</x:v>
      </x:c>
    </x:row>
    <x:row r="44">
      <x:c r="A44" s="45" t="n">
        <x:v>40</x:v>
      </x:c>
      <x:c r="B44" s="42" t="str">
        <x:v>AS-01-P040</x:v>
      </x:c>
      <x:c r="C44" s="48" t="n">
        <x:v>46027</x:v>
      </x:c>
      <x:c r="D44" s="45" t="str">
        <x:v>白班</x:v>
      </x:c>
      <x:c r="E44" s="42" t="str">
        <x:v>空压站（合成）</x:v>
      </x:c>
      <x:c r="F44" s="52" t="n">
        <x:v>21843226</x:v>
      </x:c>
      <x:c r="G44" s="52" t="n">
        <x:v>21848186</x:v>
      </x:c>
      <x:c r="H44" s="53" t="n">
        <x:v>1</x:v>
      </x:c>
      <x:c r="I44" s="52" t="n">
        <x:f>(G44-F44)*H44</x:f>
        <x:v>4960</x:v>
      </x:c>
      <x:c r="J44" s="45" t="str">
        <x:v>正常</x:v>
      </x:c>
      <x:c r="K44" s="42" t="str">
        <x:v>智能电表导出（合成）</x:v>
      </x:c>
      <x:c r="L44" s="42" t="str">
        <x:v>DEMO ONLY / SYNTHETIC</x:v>
      </x:c>
    </x:row>
    <x:row r="45">
      <x:c r="A45" s="45" t="n">
        <x:v>41</x:v>
      </x:c>
      <x:c r="B45" s="42" t="str">
        <x:v>AS-01-P041</x:v>
      </x:c>
      <x:c r="C45" s="48" t="n">
        <x:v>46034</x:v>
      </x:c>
      <x:c r="D45" s="45" t="str">
        <x:v>中班</x:v>
      </x:c>
      <x:c r="E45" s="42" t="str">
        <x:v>空压站（合成）</x:v>
      </x:c>
      <x:c r="F45" s="52" t="n">
        <x:v>21848186</x:v>
      </x:c>
      <x:c r="G45" s="52" t="n">
        <x:v>21854200</x:v>
      </x:c>
      <x:c r="H45" s="53" t="n">
        <x:v>1</x:v>
      </x:c>
      <x:c r="I45" s="52" t="n">
        <x:f>(G45-F45)*H45</x:f>
        <x:v>6014</x:v>
      </x:c>
      <x:c r="J45" s="45" t="str">
        <x:v>正常</x:v>
      </x:c>
      <x:c r="K45" s="42" t="str">
        <x:v>智能电表导出（合成）</x:v>
      </x:c>
      <x:c r="L45" s="42" t="str">
        <x:v>DEMO ONLY / SYNTHETIC</x:v>
      </x:c>
    </x:row>
    <x:row r="46">
      <x:c r="A46" s="45" t="n">
        <x:v>42</x:v>
      </x:c>
      <x:c r="B46" s="42" t="str">
        <x:v>AS-01-P042</x:v>
      </x:c>
      <x:c r="C46" s="48" t="n">
        <x:v>46041</x:v>
      </x:c>
      <x:c r="D46" s="45" t="str">
        <x:v>夜班</x:v>
      </x:c>
      <x:c r="E46" s="42" t="str">
        <x:v>空压站（合成）</x:v>
      </x:c>
      <x:c r="F46" s="52" t="n">
        <x:v>21854200</x:v>
      </x:c>
      <x:c r="G46" s="52" t="n">
        <x:v>21861268</x:v>
      </x:c>
      <x:c r="H46" s="53" t="n">
        <x:v>1</x:v>
      </x:c>
      <x:c r="I46" s="52" t="n">
        <x:f>(G46-F46)*H46</x:f>
        <x:v>7068</x:v>
      </x:c>
      <x:c r="J46" s="45" t="str">
        <x:v>正常</x:v>
      </x:c>
      <x:c r="K46" s="42" t="str">
        <x:v>智能电表导出（合成）</x:v>
      </x:c>
      <x:c r="L46" s="42" t="str">
        <x:v>DEMO ONLY / SYNTHETIC</x:v>
      </x:c>
    </x:row>
    <x:row r="47">
      <x:c r="A47" s="45" t="n">
        <x:v>43</x:v>
      </x:c>
      <x:c r="B47" s="42" t="str">
        <x:v>AS-01-P043</x:v>
      </x:c>
      <x:c r="C47" s="48" t="n">
        <x:v>46048</x:v>
      </x:c>
      <x:c r="D47" s="45" t="str">
        <x:v>白班</x:v>
      </x:c>
      <x:c r="E47" s="42" t="str">
        <x:v>空压站（合成）</x:v>
      </x:c>
      <x:c r="F47" s="52" t="n">
        <x:v>21861268</x:v>
      </x:c>
      <x:c r="G47" s="52" t="n">
        <x:v>21866848</x:v>
      </x:c>
      <x:c r="H47" s="53" t="n">
        <x:v>1</x:v>
      </x:c>
      <x:c r="I47" s="52" t="n">
        <x:f>(G47-F47)*H47</x:f>
        <x:v>5580</x:v>
      </x:c>
      <x:c r="J47" s="45" t="str">
        <x:v>正常</x:v>
      </x:c>
      <x:c r="K47" s="42" t="str">
        <x:v>智能电表导出（合成）</x:v>
      </x:c>
      <x:c r="L47" s="42" t="str">
        <x:v>DEMO ONLY / SYNTHETIC</x:v>
      </x:c>
    </x:row>
    <x:row r="48">
      <x:c r="A48" s="45" t="n">
        <x:v>44</x:v>
      </x:c>
      <x:c r="B48" s="42" t="str">
        <x:v>AS-01-P044</x:v>
      </x:c>
      <x:c r="C48" s="48" t="n">
        <x:v>46024</x:v>
      </x:c>
      <x:c r="D48" s="45" t="str">
        <x:v>中班</x:v>
      </x:c>
      <x:c r="E48" s="42" t="str">
        <x:v>空压站（合成）</x:v>
      </x:c>
      <x:c r="F48" s="52" t="n">
        <x:v>21866848</x:v>
      </x:c>
      <x:c r="G48" s="52" t="n">
        <x:v>21873482</x:v>
      </x:c>
      <x:c r="H48" s="53" t="n">
        <x:v>1</x:v>
      </x:c>
      <x:c r="I48" s="52" t="n">
        <x:f>(G48-F48)*H48</x:f>
        <x:v>6634</x:v>
      </x:c>
      <x:c r="J48" s="45" t="str">
        <x:v>正常</x:v>
      </x:c>
      <x:c r="K48" s="42" t="str">
        <x:v>智能电表导出（合成）</x:v>
      </x:c>
      <x:c r="L48" s="42" t="str">
        <x:v>DEMO ONLY / SYNTHETIC</x:v>
      </x:c>
    </x:row>
    <x:row r="49">
      <x:c r="A49" s="45" t="n">
        <x:v>45</x:v>
      </x:c>
      <x:c r="B49" s="42" t="str">
        <x:v>AS-01-P045</x:v>
      </x:c>
      <x:c r="C49" s="48" t="n">
        <x:v>46031</x:v>
      </x:c>
      <x:c r="D49" s="45" t="str">
        <x:v>夜班</x:v>
      </x:c>
      <x:c r="E49" s="42" t="str">
        <x:v>空压站（合成）</x:v>
      </x:c>
      <x:c r="F49" s="52" t="n">
        <x:v>21873482</x:v>
      </x:c>
      <x:c r="G49" s="52" t="n">
        <x:v>21878628</x:v>
      </x:c>
      <x:c r="H49" s="53" t="n">
        <x:v>1</x:v>
      </x:c>
      <x:c r="I49" s="52" t="n">
        <x:f>(G49-F49)*H49</x:f>
        <x:v>5146</x:v>
      </x:c>
      <x:c r="J49" s="45" t="str">
        <x:v>正常</x:v>
      </x:c>
      <x:c r="K49" s="42" t="str">
        <x:v>智能电表导出（合成）</x:v>
      </x:c>
      <x:c r="L49" s="42" t="str">
        <x:v>DEMO ONLY / SYNTHETIC</x:v>
      </x:c>
    </x:row>
    <x:row r="50">
      <x:c r="A50" s="45" t="n">
        <x:v>46</x:v>
      </x:c>
      <x:c r="B50" s="42" t="str">
        <x:v>AS-01-P046</x:v>
      </x:c>
      <x:c r="C50" s="48" t="n">
        <x:v>46038</x:v>
      </x:c>
      <x:c r="D50" s="45" t="str">
        <x:v>白班</x:v>
      </x:c>
      <x:c r="E50" s="42" t="str">
        <x:v>空压站（合成）</x:v>
      </x:c>
      <x:c r="F50" s="52" t="n">
        <x:v>21878628</x:v>
      </x:c>
      <x:c r="G50" s="52" t="n">
        <x:v>21884828</x:v>
      </x:c>
      <x:c r="H50" s="53" t="n">
        <x:v>1</x:v>
      </x:c>
      <x:c r="I50" s="52" t="n">
        <x:f>(G50-F50)*H50</x:f>
        <x:v>6200</x:v>
      </x:c>
      <x:c r="J50" s="45" t="str">
        <x:v>正常</x:v>
      </x:c>
      <x:c r="K50" s="42" t="str">
        <x:v>智能电表导出（合成）</x:v>
      </x:c>
      <x:c r="L50" s="42" t="str">
        <x:v>DEMO ONLY / SYNTHETIC</x:v>
      </x:c>
    </x:row>
    <x:row r="51">
      <x:c r="A51" s="45" t="n">
        <x:v>47</x:v>
      </x:c>
      <x:c r="B51" s="42" t="str">
        <x:v>AS-01-P047</x:v>
      </x:c>
      <x:c r="C51" s="48" t="n">
        <x:v>46045</x:v>
      </x:c>
      <x:c r="D51" s="45" t="str">
        <x:v>中班</x:v>
      </x:c>
      <x:c r="E51" s="42" t="str">
        <x:v>空压站（合成）</x:v>
      </x:c>
      <x:c r="F51" s="52" t="n">
        <x:v>21884828</x:v>
      </x:c>
      <x:c r="G51" s="52" t="n">
        <x:v>21892082</x:v>
      </x:c>
      <x:c r="H51" s="53" t="n">
        <x:v>1</x:v>
      </x:c>
      <x:c r="I51" s="52" t="n">
        <x:f>(G51-F51)*H51</x:f>
        <x:v>7254</x:v>
      </x:c>
      <x:c r="J51" s="45" t="str">
        <x:v>正常</x:v>
      </x:c>
      <x:c r="K51" s="42" t="str">
        <x:v>智能电表导出（合成）</x:v>
      </x:c>
      <x:c r="L51" s="42" t="str">
        <x:v>DEMO ONLY / SYNTHETIC</x:v>
      </x:c>
    </x:row>
    <x:row r="52">
      <x:c r="A52" s="45" t="n">
        <x:v>48</x:v>
      </x:c>
      <x:c r="B52" s="42" t="str">
        <x:v>AS-01-P048</x:v>
      </x:c>
      <x:c r="C52" s="48" t="n">
        <x:v>46052</x:v>
      </x:c>
      <x:c r="D52" s="45" t="str">
        <x:v>夜班</x:v>
      </x:c>
      <x:c r="E52" s="42" t="str">
        <x:v>空压站（合成）</x:v>
      </x:c>
      <x:c r="F52" s="52" t="n">
        <x:v>21892082</x:v>
      </x:c>
      <x:c r="G52" s="52" t="n">
        <x:v>21897848</x:v>
      </x:c>
      <x:c r="H52" s="53" t="n">
        <x:v>1</x:v>
      </x:c>
      <x:c r="I52" s="52" t="n">
        <x:f>(G52-F52)*H52</x:f>
        <x:v>5766</x:v>
      </x:c>
      <x:c r="J52" s="45" t="str">
        <x:v>正常</x:v>
      </x:c>
      <x:c r="K52" s="42" t="str">
        <x:v>智能电表导出（合成）</x:v>
      </x:c>
      <x:c r="L52" s="42" t="str">
        <x:v>DEMO ONLY / SYNTHETIC</x:v>
      </x:c>
    </x:row>
    <x:row r="53">
      <x:c r="A53" s="45" t="n">
        <x:v>49</x:v>
      </x:c>
      <x:c r="B53" s="42" t="str">
        <x:v>AS-01-P049</x:v>
      </x:c>
      <x:c r="C53" s="48" t="n">
        <x:v>46028</x:v>
      </x:c>
      <x:c r="D53" s="45" t="str">
        <x:v>白班</x:v>
      </x:c>
      <x:c r="E53" s="42" t="str">
        <x:v>空压站（合成）</x:v>
      </x:c>
      <x:c r="F53" s="52" t="n">
        <x:v>21897848</x:v>
      </x:c>
      <x:c r="G53" s="52" t="n">
        <x:v>21904668</x:v>
      </x:c>
      <x:c r="H53" s="53" t="n">
        <x:v>1</x:v>
      </x:c>
      <x:c r="I53" s="52" t="n">
        <x:f>(G53-F53)*H53</x:f>
        <x:v>6820</x:v>
      </x:c>
      <x:c r="J53" s="45" t="str">
        <x:v>正常</x:v>
      </x:c>
      <x:c r="K53" s="42" t="str">
        <x:v>智能电表导出（合成）</x:v>
      </x:c>
      <x:c r="L53" s="42" t="str">
        <x:v>DEMO ONLY / SYNTHETIC</x:v>
      </x:c>
    </x:row>
    <x:row r="54">
      <x:c r="A54" s="46" t="n">
        <x:v>50</x:v>
      </x:c>
      <x:c r="B54" s="43" t="str">
        <x:v>AS-01-P050</x:v>
      </x:c>
      <x:c r="C54" s="49" t="n">
        <x:v>46035</x:v>
      </x:c>
      <x:c r="D54" s="46" t="str">
        <x:v>中班</x:v>
      </x:c>
      <x:c r="E54" s="43" t="str">
        <x:v>空压站（合成）</x:v>
      </x:c>
      <x:c r="F54" s="54" t="n">
        <x:v>21904668</x:v>
      </x:c>
      <x:c r="G54" s="54" t="n">
        <x:v>21910000</x:v>
      </x:c>
      <x:c r="H54" s="55" t="n">
        <x:v>1</x:v>
      </x:c>
      <x:c r="I54" s="54" t="n">
        <x:f>(G54-F54)*H54</x:f>
        <x:v>5332</x:v>
      </x:c>
      <x:c r="J54" s="46" t="str">
        <x:v>正常</x:v>
      </x:c>
      <x:c r="K54" s="43" t="str">
        <x:v>智能电表导出（合成）</x:v>
      </x:c>
      <x:c r="L54" s="43" t="str">
        <x:v>DEMO ONLY / SYNTHETIC</x:v>
      </x:c>
    </x:row>
    <x:row r="55">
      <x:c r="A55" s="58" t="str">
        <x:v>50条明细合计</x:v>
      </x:c>
      <x:c r="B55" s="59" t="str">
        <x:v>50条明细合计</x:v>
      </x:c>
      <x:c r="C55" s="59" t="str">
        <x:v>50条明细合计</x:v>
      </x:c>
      <x:c r="D55" s="59" t="str">
        <x:v>50条明细合计</x:v>
      </x:c>
      <x:c r="E55" s="59" t="str">
        <x:v>50条明细合计</x:v>
      </x:c>
      <x:c r="F55" s="59" t="str">
        <x:v>50条明细合计</x:v>
      </x:c>
      <x:c r="G55" s="59" t="str">
        <x:v>50条明细合计</x:v>
      </x:c>
      <x:c r="H55" s="59" t="str">
        <x:v>50条明细合计</x:v>
      </x:c>
      <x:c r="I55" s="61" t="n">
        <x:f>SUM(I5:I54)</x:f>
        <x:v>310000</x:v>
      </x:c>
      <x:c r="J55" s="59" t="str">
        <x:v>应与账单摘要一致</x:v>
      </x:c>
      <x:c r="K55" s="59" t="str">
        <x:v>应与账单摘要一致</x:v>
      </x:c>
      <x:c r="L55" s="60" t="str">
        <x:v>应与账单摘要一致</x:v>
      </x:c>
    </x:row>
  </x:sheetData>
  <x:mergeCells>
    <x:mergeCell ref="A1:L1"/>
    <x:mergeCell ref="A2:L2"/>
    <x:mergeCell ref="A55:H55"/>
    <x:mergeCell ref="J55:L5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8" hidden="0" customWidth="1"/>
  </x:cols>
  <x:sheetData>
    <x:row r="1" ht="34" customHeight="1">
      <x:c r="A1" s="3" t="str">
        <x:v>数据说明与使用边界</x:v>
      </x:c>
      <x:c r="B1" s="3" t="str">
        <x:v>数据说明与使用边界</x:v>
      </x:c>
    </x:row>
    <x:row r="2" ht="28" customHeight="1">
      <x:c r="A2" s="7" t="str">
        <x:v>本工作簿仅用于软件验证与比赛演示，不是客户账单、发票或监管凭证。</x:v>
      </x:c>
      <x:c r="B2" s="7" t="str">
        <x:v>本工作簿仅用于软件验证与比赛演示，不是客户账单、发票或监管凭证。</x:v>
      </x:c>
    </x:row>
    <x:row r="4" ht="28" customHeight="1">
      <x:c r="A4" s="13" t="str">
        <x:v>项目</x:v>
      </x:c>
      <x:c r="B4" s="13" t="str">
        <x:v>说明</x:v>
      </x:c>
    </x:row>
    <x:row r="5" ht="32" customHeight="1">
      <x:c r="A5" s="67" t="str">
        <x:v>数据性质</x:v>
      </x:c>
      <x:c r="B5" s="68" t="str">
        <x:v>完全合成；不含真实企业、户号、合同、账单或个人信息</x:v>
      </x:c>
    </x:row>
    <x:row r="6" ht="32" customHeight="1">
      <x:c r="A6" s="67" t="str">
        <x:v>记录结构</x:v>
      </x:c>
      <x:c r="B6" s="68" t="str">
        <x:v>1条月度账单摘要 + 50条计量点/班次用电明细</x:v>
      </x:c>
    </x:row>
    <x:row r="7" ht="32" customHeight="1">
      <x:c r="A7" s="67" t="str">
        <x:v>勾稽关系</x:v>
      </x:c>
      <x:c r="B7" s="68" t="str">
        <x:v>结束读数－起始读数＝明细用电量；50条明细合计＝月度摘要电量</x:v>
      </x:c>
    </x:row>
    <x:row r="8" ht="32" customHeight="1">
      <x:c r="A8" s="67" t="str">
        <x:v>数值边界</x:v>
      </x:c>
      <x:c r="B8" s="68" t="str">
        <x:v>数量级用于工程压力测试，不代表某座真实工厂的统计分布</x:v>
      </x:c>
    </x:row>
    <x:row r="9" ht="32" customHeight="1">
      <x:c r="A9" s="67" t="str">
        <x:v>排放因子</x:v>
      </x:c>
      <x:c r="B9" s="68" t="str">
        <x:v>系统演示统一使用0.5 kgCO2e/kWh的合成因子</x:v>
      </x:c>
    </x:row>
    <x:row r="10" ht="32" customHeight="1">
      <x:c r="A10" s="67" t="str">
        <x:v>禁止用途</x:v>
      </x:c>
      <x:c r="B10" s="68" t="str">
        <x:v>不得用于申报、核查、报价、交易或真实业务决策</x:v>
      </x:c>
    </x:row>
    <x:row r="11" ht="32" customHeight="1">
      <x:c r="A11" s="67" t="str">
        <x:v>公开背景1</x:v>
      </x:c>
      <x:c r="B11" s="68" t="str">
        <x:v>https://www.nea.gov.cn/20260821/f227e3fb9f05422285e354f4c27aec07/c.html</x:v>
      </x:c>
    </x:row>
    <x:row r="12" ht="32" customHeight="1">
      <x:c r="A12" s="67" t="str">
        <x:v>公开背景2</x:v>
      </x:c>
      <x:c r="B12" s="68" t="str">
        <x:v>https://www.95598.cn/omg-static/omg-static/99302261906123669376800423273245.pdf</x:v>
      </x:c>
    </x:row>
  </x:sheetData>
  <x:mergeCells>
    <x:mergeCell ref="A1:B1"/>
    <x:mergeCell ref="A2:B2"/>
  </x:mergeCells>
  <x:pageMargins left="0.7" right="0.7" top="0.75" bottom="0.75" header="0.3" footer="0.3"/>
</x:worksheet>
</file>